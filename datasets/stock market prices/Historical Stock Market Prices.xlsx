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la Inc" sheetId="1" r:id="rId4"/>
    <sheet state="visible" name="Apple Inc" sheetId="2" r:id="rId5"/>
  </sheets>
  <definedNames/>
  <calcPr/>
</workbook>
</file>

<file path=xl/sharedStrings.xml><?xml version="1.0" encoding="utf-8"?>
<sst xmlns="http://schemas.openxmlformats.org/spreadsheetml/2006/main" count="8" uniqueCount="8">
  <si>
    <t>Ticker</t>
  </si>
  <si>
    <t>NASDAQ:TSLA</t>
  </si>
  <si>
    <t>Attribute</t>
  </si>
  <si>
    <t>All</t>
  </si>
  <si>
    <t>Start Date</t>
  </si>
  <si>
    <t>End Date</t>
  </si>
  <si>
    <t>Interval</t>
  </si>
  <si>
    <t>Daily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</si>
</sst>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-dd-yyyy"/>
    <numFmt numFmtId="165" formatCode="m-d-yyyy"/>
    <numFmt numFmtId="166" formatCode="dd-mm-yyyy"/>
    <numFmt numFmtId="167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0" xfId="0" applyFont="1"/>
    <xf borderId="0" fillId="0" fontId="1" numFmtId="167" xfId="0" applyAlignment="1" applyFont="1" applyNumberFormat="1">
      <alignment readingOrder="0"/>
    </xf>
    <xf borderId="0" fillId="0" fontId="1" numFmtId="16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2">
        <v>45474.0</v>
      </c>
    </row>
    <row r="4">
      <c r="A4" s="1" t="s">
        <v>5</v>
      </c>
      <c r="B4" s="3">
        <v>45858.0</v>
      </c>
    </row>
    <row r="5">
      <c r="A5" s="1" t="s">
        <v>6</v>
      </c>
      <c r="B5" s="1" t="s">
        <v>7</v>
      </c>
    </row>
    <row r="6">
      <c r="A6" s="1" t="str">
        <f>IFERROR(__xludf.DUMMYFUNCTION("GOOGLEFINANCE(B1,B2,B3,B4,B5)"),"Date")</f>
        <v>Date</v>
      </c>
      <c r="B6" s="4" t="str">
        <f>IFERROR(__xludf.DUMMYFUNCTION("""COMPUTED_VALUE"""),"Open")</f>
        <v>Open</v>
      </c>
      <c r="C6" s="5" t="str">
        <f>IFERROR(__xludf.DUMMYFUNCTION("""COMPUTED_VALUE"""),"High")</f>
        <v>High</v>
      </c>
      <c r="D6" s="5" t="str">
        <f>IFERROR(__xludf.DUMMYFUNCTION("""COMPUTED_VALUE"""),"Low")</f>
        <v>Low</v>
      </c>
      <c r="E6" s="5" t="str">
        <f>IFERROR(__xludf.DUMMYFUNCTION("""COMPUTED_VALUE"""),"Close")</f>
        <v>Close</v>
      </c>
      <c r="F6" s="5" t="str">
        <f>IFERROR(__xludf.DUMMYFUNCTION("""COMPUTED_VALUE"""),"Volume")</f>
        <v>Volume</v>
      </c>
    </row>
    <row r="7">
      <c r="A7" s="6">
        <f>IFERROR(__xludf.DUMMYFUNCTION("""COMPUTED_VALUE"""),45474.66666666667)</f>
        <v>45474.66667</v>
      </c>
      <c r="B7" s="4">
        <f>IFERROR(__xludf.DUMMYFUNCTION("""COMPUTED_VALUE"""),201.02)</f>
        <v>201.02</v>
      </c>
      <c r="C7" s="5">
        <f>IFERROR(__xludf.DUMMYFUNCTION("""COMPUTED_VALUE"""),213.23)</f>
        <v>213.23</v>
      </c>
      <c r="D7" s="5">
        <f>IFERROR(__xludf.DUMMYFUNCTION("""COMPUTED_VALUE"""),200.85)</f>
        <v>200.85</v>
      </c>
      <c r="E7" s="5">
        <f>IFERROR(__xludf.DUMMYFUNCTION("""COMPUTED_VALUE"""),209.86)</f>
        <v>209.86</v>
      </c>
      <c r="F7" s="5">
        <f>IFERROR(__xludf.DUMMYFUNCTION("""COMPUTED_VALUE"""),1.35691395E8)</f>
        <v>135691395</v>
      </c>
    </row>
    <row r="8">
      <c r="A8" s="6">
        <f>IFERROR(__xludf.DUMMYFUNCTION("""COMPUTED_VALUE"""),45475.66666666667)</f>
        <v>45475.66667</v>
      </c>
      <c r="B8" s="5">
        <f>IFERROR(__xludf.DUMMYFUNCTION("""COMPUTED_VALUE"""),218.89)</f>
        <v>218.89</v>
      </c>
      <c r="C8" s="5">
        <f>IFERROR(__xludf.DUMMYFUNCTION("""COMPUTED_VALUE"""),231.3)</f>
        <v>231.3</v>
      </c>
      <c r="D8" s="5">
        <f>IFERROR(__xludf.DUMMYFUNCTION("""COMPUTED_VALUE"""),218.06)</f>
        <v>218.06</v>
      </c>
      <c r="E8" s="5">
        <f>IFERROR(__xludf.DUMMYFUNCTION("""COMPUTED_VALUE"""),231.26)</f>
        <v>231.26</v>
      </c>
      <c r="F8" s="5">
        <f>IFERROR(__xludf.DUMMYFUNCTION("""COMPUTED_VALUE"""),2.0504792E8)</f>
        <v>205047920</v>
      </c>
    </row>
    <row r="9">
      <c r="A9" s="7">
        <f>IFERROR(__xludf.DUMMYFUNCTION("""COMPUTED_VALUE"""),45476.54513888889)</f>
        <v>45476.54514</v>
      </c>
      <c r="B9" s="5">
        <f>IFERROR(__xludf.DUMMYFUNCTION("""COMPUTED_VALUE"""),234.56)</f>
        <v>234.56</v>
      </c>
      <c r="C9" s="5">
        <f>IFERROR(__xludf.DUMMYFUNCTION("""COMPUTED_VALUE"""),248.35)</f>
        <v>248.35</v>
      </c>
      <c r="D9" s="5">
        <f>IFERROR(__xludf.DUMMYFUNCTION("""COMPUTED_VALUE"""),234.25)</f>
        <v>234.25</v>
      </c>
      <c r="E9" s="5">
        <f>IFERROR(__xludf.DUMMYFUNCTION("""COMPUTED_VALUE"""),246.39)</f>
        <v>246.39</v>
      </c>
      <c r="F9" s="5">
        <f>IFERROR(__xludf.DUMMYFUNCTION("""COMPUTED_VALUE"""),1.66561471E8)</f>
        <v>166561471</v>
      </c>
    </row>
    <row r="10">
      <c r="A10" s="7">
        <f>IFERROR(__xludf.DUMMYFUNCTION("""COMPUTED_VALUE"""),45478.66666666667)</f>
        <v>45478.66667</v>
      </c>
      <c r="B10" s="5">
        <f>IFERROR(__xludf.DUMMYFUNCTION("""COMPUTED_VALUE"""),249.81)</f>
        <v>249.81</v>
      </c>
      <c r="C10" s="5">
        <f>IFERROR(__xludf.DUMMYFUNCTION("""COMPUTED_VALUE"""),252.37)</f>
        <v>252.37</v>
      </c>
      <c r="D10" s="5">
        <f>IFERROR(__xludf.DUMMYFUNCTION("""COMPUTED_VALUE"""),242.46)</f>
        <v>242.46</v>
      </c>
      <c r="E10" s="5">
        <f>IFERROR(__xludf.DUMMYFUNCTION("""COMPUTED_VALUE"""),251.52)</f>
        <v>251.52</v>
      </c>
      <c r="F10" s="5">
        <f>IFERROR(__xludf.DUMMYFUNCTION("""COMPUTED_VALUE"""),1.54501152E8)</f>
        <v>154501152</v>
      </c>
    </row>
    <row r="11">
      <c r="A11" s="7">
        <f>IFERROR(__xludf.DUMMYFUNCTION("""COMPUTED_VALUE"""),45481.66666666667)</f>
        <v>45481.66667</v>
      </c>
      <c r="B11" s="5">
        <f>IFERROR(__xludf.DUMMYFUNCTION("""COMPUTED_VALUE"""),247.71)</f>
        <v>247.71</v>
      </c>
      <c r="C11" s="5">
        <f>IFERROR(__xludf.DUMMYFUNCTION("""COMPUTED_VALUE"""),259.44)</f>
        <v>259.44</v>
      </c>
      <c r="D11" s="5">
        <f>IFERROR(__xludf.DUMMYFUNCTION("""COMPUTED_VALUE"""),244.57)</f>
        <v>244.57</v>
      </c>
      <c r="E11" s="5">
        <f>IFERROR(__xludf.DUMMYFUNCTION("""COMPUTED_VALUE"""),252.94)</f>
        <v>252.94</v>
      </c>
      <c r="F11" s="5">
        <f>IFERROR(__xludf.DUMMYFUNCTION("""COMPUTED_VALUE"""),1.5721958E8)</f>
        <v>157219580</v>
      </c>
    </row>
    <row r="12">
      <c r="A12" s="7">
        <f>IFERROR(__xludf.DUMMYFUNCTION("""COMPUTED_VALUE"""),45482.66666666667)</f>
        <v>45482.66667</v>
      </c>
      <c r="B12" s="5">
        <f>IFERROR(__xludf.DUMMYFUNCTION("""COMPUTED_VALUE"""),251.0)</f>
        <v>251</v>
      </c>
      <c r="C12" s="5">
        <f>IFERROR(__xludf.DUMMYFUNCTION("""COMPUTED_VALUE"""),265.61)</f>
        <v>265.61</v>
      </c>
      <c r="D12" s="5">
        <f>IFERROR(__xludf.DUMMYFUNCTION("""COMPUTED_VALUE"""),250.3)</f>
        <v>250.3</v>
      </c>
      <c r="E12" s="5">
        <f>IFERROR(__xludf.DUMMYFUNCTION("""COMPUTED_VALUE"""),262.33)</f>
        <v>262.33</v>
      </c>
      <c r="F12" s="5">
        <f>IFERROR(__xludf.DUMMYFUNCTION("""COMPUTED_VALUE"""),1.60742516E8)</f>
        <v>160742516</v>
      </c>
    </row>
    <row r="13">
      <c r="A13" s="7">
        <f>IFERROR(__xludf.DUMMYFUNCTION("""COMPUTED_VALUE"""),45483.66666666667)</f>
        <v>45483.66667</v>
      </c>
      <c r="B13" s="5">
        <f>IFERROR(__xludf.DUMMYFUNCTION("""COMPUTED_VALUE"""),262.8)</f>
        <v>262.8</v>
      </c>
      <c r="C13" s="5">
        <f>IFERROR(__xludf.DUMMYFUNCTION("""COMPUTED_VALUE"""),267.59)</f>
        <v>267.59</v>
      </c>
      <c r="D13" s="5">
        <f>IFERROR(__xludf.DUMMYFUNCTION("""COMPUTED_VALUE"""),257.86)</f>
        <v>257.86</v>
      </c>
      <c r="E13" s="5">
        <f>IFERROR(__xludf.DUMMYFUNCTION("""COMPUTED_VALUE"""),263.26)</f>
        <v>263.26</v>
      </c>
      <c r="F13" s="5">
        <f>IFERROR(__xludf.DUMMYFUNCTION("""COMPUTED_VALUE"""),1.2851943E8)</f>
        <v>128519430</v>
      </c>
    </row>
    <row r="14">
      <c r="A14" s="7">
        <f>IFERROR(__xludf.DUMMYFUNCTION("""COMPUTED_VALUE"""),45484.66666666667)</f>
        <v>45484.66667</v>
      </c>
      <c r="B14" s="5">
        <f>IFERROR(__xludf.DUMMYFUNCTION("""COMPUTED_VALUE"""),263.3)</f>
        <v>263.3</v>
      </c>
      <c r="C14" s="5">
        <f>IFERROR(__xludf.DUMMYFUNCTION("""COMPUTED_VALUE"""),271.0)</f>
        <v>271</v>
      </c>
      <c r="D14" s="5">
        <f>IFERROR(__xludf.DUMMYFUNCTION("""COMPUTED_VALUE"""),239.65)</f>
        <v>239.65</v>
      </c>
      <c r="E14" s="5">
        <f>IFERROR(__xludf.DUMMYFUNCTION("""COMPUTED_VALUE"""),241.03)</f>
        <v>241.03</v>
      </c>
      <c r="F14" s="5">
        <f>IFERROR(__xludf.DUMMYFUNCTION("""COMPUTED_VALUE"""),2.21707273E8)</f>
        <v>221707273</v>
      </c>
    </row>
    <row r="15">
      <c r="A15" s="7">
        <f>IFERROR(__xludf.DUMMYFUNCTION("""COMPUTED_VALUE"""),45485.66666666667)</f>
        <v>45485.66667</v>
      </c>
      <c r="B15" s="5">
        <f>IFERROR(__xludf.DUMMYFUNCTION("""COMPUTED_VALUE"""),235.8)</f>
        <v>235.8</v>
      </c>
      <c r="C15" s="5">
        <f>IFERROR(__xludf.DUMMYFUNCTION("""COMPUTED_VALUE"""),251.84)</f>
        <v>251.84</v>
      </c>
      <c r="D15" s="5">
        <f>IFERROR(__xludf.DUMMYFUNCTION("""COMPUTED_VALUE"""),233.09)</f>
        <v>233.09</v>
      </c>
      <c r="E15" s="5">
        <f>IFERROR(__xludf.DUMMYFUNCTION("""COMPUTED_VALUE"""),248.23)</f>
        <v>248.23</v>
      </c>
      <c r="F15" s="5">
        <f>IFERROR(__xludf.DUMMYFUNCTION("""COMPUTED_VALUE"""),1.55955773E8)</f>
        <v>155955773</v>
      </c>
    </row>
    <row r="16">
      <c r="A16" s="7">
        <f>IFERROR(__xludf.DUMMYFUNCTION("""COMPUTED_VALUE"""),45488.66666666667)</f>
        <v>45488.66667</v>
      </c>
      <c r="B16" s="5">
        <f>IFERROR(__xludf.DUMMYFUNCTION("""COMPUTED_VALUE"""),255.97)</f>
        <v>255.97</v>
      </c>
      <c r="C16" s="5">
        <f>IFERROR(__xludf.DUMMYFUNCTION("""COMPUTED_VALUE"""),265.6)</f>
        <v>265.6</v>
      </c>
      <c r="D16" s="5">
        <f>IFERROR(__xludf.DUMMYFUNCTION("""COMPUTED_VALUE"""),251.73)</f>
        <v>251.73</v>
      </c>
      <c r="E16" s="5">
        <f>IFERROR(__xludf.DUMMYFUNCTION("""COMPUTED_VALUE"""),252.64)</f>
        <v>252.64</v>
      </c>
      <c r="F16" s="5">
        <f>IFERROR(__xludf.DUMMYFUNCTION("""COMPUTED_VALUE"""),1.4691292E8)</f>
        <v>146912920</v>
      </c>
    </row>
    <row r="17">
      <c r="A17" s="7">
        <f>IFERROR(__xludf.DUMMYFUNCTION("""COMPUTED_VALUE"""),45489.66666666667)</f>
        <v>45489.66667</v>
      </c>
      <c r="B17" s="5">
        <f>IFERROR(__xludf.DUMMYFUNCTION("""COMPUTED_VALUE"""),255.31)</f>
        <v>255.31</v>
      </c>
      <c r="C17" s="5">
        <f>IFERROR(__xludf.DUMMYFUNCTION("""COMPUTED_VALUE"""),258.62)</f>
        <v>258.62</v>
      </c>
      <c r="D17" s="5">
        <f>IFERROR(__xludf.DUMMYFUNCTION("""COMPUTED_VALUE"""),245.8)</f>
        <v>245.8</v>
      </c>
      <c r="E17" s="5">
        <f>IFERROR(__xludf.DUMMYFUNCTION("""COMPUTED_VALUE"""),256.56)</f>
        <v>256.56</v>
      </c>
      <c r="F17" s="5">
        <f>IFERROR(__xludf.DUMMYFUNCTION("""COMPUTED_VALUE"""),1.2633247E8)</f>
        <v>126332470</v>
      </c>
    </row>
    <row r="18">
      <c r="A18" s="7">
        <f>IFERROR(__xludf.DUMMYFUNCTION("""COMPUTED_VALUE"""),45490.66666666667)</f>
        <v>45490.66667</v>
      </c>
      <c r="B18" s="5">
        <f>IFERROR(__xludf.DUMMYFUNCTION("""COMPUTED_VALUE"""),252.73)</f>
        <v>252.73</v>
      </c>
      <c r="C18" s="5">
        <f>IFERROR(__xludf.DUMMYFUNCTION("""COMPUTED_VALUE"""),258.47)</f>
        <v>258.47</v>
      </c>
      <c r="D18" s="5">
        <f>IFERROR(__xludf.DUMMYFUNCTION("""COMPUTED_VALUE"""),246.18)</f>
        <v>246.18</v>
      </c>
      <c r="E18" s="5">
        <f>IFERROR(__xludf.DUMMYFUNCTION("""COMPUTED_VALUE"""),248.5)</f>
        <v>248.5</v>
      </c>
      <c r="F18" s="5">
        <f>IFERROR(__xludf.DUMMYFUNCTION("""COMPUTED_VALUE"""),1.1558481E8)</f>
        <v>115584810</v>
      </c>
    </row>
    <row r="19">
      <c r="A19" s="7">
        <f>IFERROR(__xludf.DUMMYFUNCTION("""COMPUTED_VALUE"""),45491.66666666667)</f>
        <v>45491.66667</v>
      </c>
      <c r="B19" s="5">
        <f>IFERROR(__xludf.DUMMYFUNCTION("""COMPUTED_VALUE"""),251.09)</f>
        <v>251.09</v>
      </c>
      <c r="C19" s="5">
        <f>IFERROR(__xludf.DUMMYFUNCTION("""COMPUTED_VALUE"""),257.14)</f>
        <v>257.14</v>
      </c>
      <c r="D19" s="5">
        <f>IFERROR(__xludf.DUMMYFUNCTION("""COMPUTED_VALUE"""),247.2)</f>
        <v>247.2</v>
      </c>
      <c r="E19" s="5">
        <f>IFERROR(__xludf.DUMMYFUNCTION("""COMPUTED_VALUE"""),249.23)</f>
        <v>249.23</v>
      </c>
      <c r="F19" s="5">
        <f>IFERROR(__xludf.DUMMYFUNCTION("""COMPUTED_VALUE"""),1.10869037E8)</f>
        <v>110869037</v>
      </c>
    </row>
    <row r="20">
      <c r="A20" s="7">
        <f>IFERROR(__xludf.DUMMYFUNCTION("""COMPUTED_VALUE"""),45492.66666666667)</f>
        <v>45492.66667</v>
      </c>
      <c r="B20" s="5">
        <f>IFERROR(__xludf.DUMMYFUNCTION("""COMPUTED_VALUE"""),247.79)</f>
        <v>247.79</v>
      </c>
      <c r="C20" s="5">
        <f>IFERROR(__xludf.DUMMYFUNCTION("""COMPUTED_VALUE"""),249.44)</f>
        <v>249.44</v>
      </c>
      <c r="D20" s="5">
        <f>IFERROR(__xludf.DUMMYFUNCTION("""COMPUTED_VALUE"""),236.83)</f>
        <v>236.83</v>
      </c>
      <c r="E20" s="5">
        <f>IFERROR(__xludf.DUMMYFUNCTION("""COMPUTED_VALUE"""),239.2)</f>
        <v>239.2</v>
      </c>
      <c r="F20" s="5">
        <f>IFERROR(__xludf.DUMMYFUNCTION("""COMPUTED_VALUE"""),8.7403903E7)</f>
        <v>87403903</v>
      </c>
    </row>
    <row r="21">
      <c r="A21" s="7">
        <f>IFERROR(__xludf.DUMMYFUNCTION("""COMPUTED_VALUE"""),45495.66666666667)</f>
        <v>45495.66667</v>
      </c>
      <c r="B21" s="5">
        <f>IFERROR(__xludf.DUMMYFUNCTION("""COMPUTED_VALUE"""),244.21)</f>
        <v>244.21</v>
      </c>
      <c r="C21" s="5">
        <f>IFERROR(__xludf.DUMMYFUNCTION("""COMPUTED_VALUE"""),253.21)</f>
        <v>253.21</v>
      </c>
      <c r="D21" s="5">
        <f>IFERROR(__xludf.DUMMYFUNCTION("""COMPUTED_VALUE"""),243.75)</f>
        <v>243.75</v>
      </c>
      <c r="E21" s="5">
        <f>IFERROR(__xludf.DUMMYFUNCTION("""COMPUTED_VALUE"""),251.51)</f>
        <v>251.51</v>
      </c>
      <c r="F21" s="5">
        <f>IFERROR(__xludf.DUMMYFUNCTION("""COMPUTED_VALUE"""),1.0122543E8)</f>
        <v>101225430</v>
      </c>
    </row>
    <row r="22">
      <c r="A22" s="7">
        <f>IFERROR(__xludf.DUMMYFUNCTION("""COMPUTED_VALUE"""),45496.66666666667)</f>
        <v>45496.66667</v>
      </c>
      <c r="B22" s="5">
        <f>IFERROR(__xludf.DUMMYFUNCTION("""COMPUTED_VALUE"""),253.6)</f>
        <v>253.6</v>
      </c>
      <c r="C22" s="5">
        <f>IFERROR(__xludf.DUMMYFUNCTION("""COMPUTED_VALUE"""),255.76)</f>
        <v>255.76</v>
      </c>
      <c r="D22" s="5">
        <f>IFERROR(__xludf.DUMMYFUNCTION("""COMPUTED_VALUE"""),245.63)</f>
        <v>245.63</v>
      </c>
      <c r="E22" s="5">
        <f>IFERROR(__xludf.DUMMYFUNCTION("""COMPUTED_VALUE"""),246.38)</f>
        <v>246.38</v>
      </c>
      <c r="F22" s="5">
        <f>IFERROR(__xludf.DUMMYFUNCTION("""COMPUTED_VALUE"""),1.11928192E8)</f>
        <v>111928192</v>
      </c>
    </row>
    <row r="23">
      <c r="A23" s="7">
        <f>IFERROR(__xludf.DUMMYFUNCTION("""COMPUTED_VALUE"""),45497.66666666667)</f>
        <v>45497.66667</v>
      </c>
      <c r="B23" s="5">
        <f>IFERROR(__xludf.DUMMYFUNCTION("""COMPUTED_VALUE"""),225.42)</f>
        <v>225.42</v>
      </c>
      <c r="C23" s="5">
        <f>IFERROR(__xludf.DUMMYFUNCTION("""COMPUTED_VALUE"""),225.99)</f>
        <v>225.99</v>
      </c>
      <c r="D23" s="5">
        <f>IFERROR(__xludf.DUMMYFUNCTION("""COMPUTED_VALUE"""),214.71)</f>
        <v>214.71</v>
      </c>
      <c r="E23" s="5">
        <f>IFERROR(__xludf.DUMMYFUNCTION("""COMPUTED_VALUE"""),215.99)</f>
        <v>215.99</v>
      </c>
      <c r="F23" s="5">
        <f>IFERROR(__xludf.DUMMYFUNCTION("""COMPUTED_VALUE"""),1.67942939E8)</f>
        <v>167942939</v>
      </c>
    </row>
    <row r="24">
      <c r="A24" s="7">
        <f>IFERROR(__xludf.DUMMYFUNCTION("""COMPUTED_VALUE"""),45498.66666666667)</f>
        <v>45498.66667</v>
      </c>
      <c r="B24" s="5">
        <f>IFERROR(__xludf.DUMMYFUNCTION("""COMPUTED_VALUE"""),216.8)</f>
        <v>216.8</v>
      </c>
      <c r="C24" s="5">
        <f>IFERROR(__xludf.DUMMYFUNCTION("""COMPUTED_VALUE"""),226.0)</f>
        <v>226</v>
      </c>
      <c r="D24" s="5">
        <f>IFERROR(__xludf.DUMMYFUNCTION("""COMPUTED_VALUE"""),216.23)</f>
        <v>216.23</v>
      </c>
      <c r="E24" s="5">
        <f>IFERROR(__xludf.DUMMYFUNCTION("""COMPUTED_VALUE"""),220.25)</f>
        <v>220.25</v>
      </c>
      <c r="F24" s="5">
        <f>IFERROR(__xludf.DUMMYFUNCTION("""COMPUTED_VALUE"""),1.00636466E8)</f>
        <v>100636466</v>
      </c>
    </row>
    <row r="25">
      <c r="A25" s="7">
        <f>IFERROR(__xludf.DUMMYFUNCTION("""COMPUTED_VALUE"""),45499.66666666667)</f>
        <v>45499.66667</v>
      </c>
      <c r="B25" s="5">
        <f>IFERROR(__xludf.DUMMYFUNCTION("""COMPUTED_VALUE"""),221.19)</f>
        <v>221.19</v>
      </c>
      <c r="C25" s="5">
        <f>IFERROR(__xludf.DUMMYFUNCTION("""COMPUTED_VALUE"""),222.28)</f>
        <v>222.28</v>
      </c>
      <c r="D25" s="5">
        <f>IFERROR(__xludf.DUMMYFUNCTION("""COMPUTED_VALUE"""),215.33)</f>
        <v>215.33</v>
      </c>
      <c r="E25" s="5">
        <f>IFERROR(__xludf.DUMMYFUNCTION("""COMPUTED_VALUE"""),219.8)</f>
        <v>219.8</v>
      </c>
      <c r="F25" s="5">
        <f>IFERROR(__xludf.DUMMYFUNCTION("""COMPUTED_VALUE"""),9.4604145E7)</f>
        <v>94604145</v>
      </c>
    </row>
    <row r="26">
      <c r="A26" s="7">
        <f>IFERROR(__xludf.DUMMYFUNCTION("""COMPUTED_VALUE"""),45502.66666666667)</f>
        <v>45502.66667</v>
      </c>
      <c r="B26" s="5">
        <f>IFERROR(__xludf.DUMMYFUNCTION("""COMPUTED_VALUE"""),224.9)</f>
        <v>224.9</v>
      </c>
      <c r="C26" s="5">
        <f>IFERROR(__xludf.DUMMYFUNCTION("""COMPUTED_VALUE"""),234.27)</f>
        <v>234.27</v>
      </c>
      <c r="D26" s="5">
        <f>IFERROR(__xludf.DUMMYFUNCTION("""COMPUTED_VALUE"""),224.7)</f>
        <v>224.7</v>
      </c>
      <c r="E26" s="5">
        <f>IFERROR(__xludf.DUMMYFUNCTION("""COMPUTED_VALUE"""),232.1)</f>
        <v>232.1</v>
      </c>
      <c r="F26" s="5">
        <f>IFERROR(__xludf.DUMMYFUNCTION("""COMPUTED_VALUE"""),1.29201789E8)</f>
        <v>129201789</v>
      </c>
    </row>
    <row r="27">
      <c r="A27" s="7">
        <f>IFERROR(__xludf.DUMMYFUNCTION("""COMPUTED_VALUE"""),45503.66666666667)</f>
        <v>45503.66667</v>
      </c>
      <c r="B27" s="5">
        <f>IFERROR(__xludf.DUMMYFUNCTION("""COMPUTED_VALUE"""),232.25)</f>
        <v>232.25</v>
      </c>
      <c r="C27" s="5">
        <f>IFERROR(__xludf.DUMMYFUNCTION("""COMPUTED_VALUE"""),232.41)</f>
        <v>232.41</v>
      </c>
      <c r="D27" s="5">
        <f>IFERROR(__xludf.DUMMYFUNCTION("""COMPUTED_VALUE"""),220.0)</f>
        <v>220</v>
      </c>
      <c r="E27" s="5">
        <f>IFERROR(__xludf.DUMMYFUNCTION("""COMPUTED_VALUE"""),222.62)</f>
        <v>222.62</v>
      </c>
      <c r="F27" s="5">
        <f>IFERROR(__xludf.DUMMYFUNCTION("""COMPUTED_VALUE"""),1.00560334E8)</f>
        <v>100560334</v>
      </c>
    </row>
    <row r="28">
      <c r="A28" s="7">
        <f>IFERROR(__xludf.DUMMYFUNCTION("""COMPUTED_VALUE"""),45504.66666666667)</f>
        <v>45504.66667</v>
      </c>
      <c r="B28" s="5">
        <f>IFERROR(__xludf.DUMMYFUNCTION("""COMPUTED_VALUE"""),227.9)</f>
        <v>227.9</v>
      </c>
      <c r="C28" s="5">
        <f>IFERROR(__xludf.DUMMYFUNCTION("""COMPUTED_VALUE"""),234.68)</f>
        <v>234.68</v>
      </c>
      <c r="D28" s="5">
        <f>IFERROR(__xludf.DUMMYFUNCTION("""COMPUTED_VALUE"""),226.79)</f>
        <v>226.79</v>
      </c>
      <c r="E28" s="5">
        <f>IFERROR(__xludf.DUMMYFUNCTION("""COMPUTED_VALUE"""),232.07)</f>
        <v>232.07</v>
      </c>
      <c r="F28" s="5">
        <f>IFERROR(__xludf.DUMMYFUNCTION("""COMPUTED_VALUE"""),6.7497011E7)</f>
        <v>67497011</v>
      </c>
    </row>
    <row r="29">
      <c r="A29" s="7">
        <f>IFERROR(__xludf.DUMMYFUNCTION("""COMPUTED_VALUE"""),45505.66666666667)</f>
        <v>45505.66667</v>
      </c>
      <c r="B29" s="5">
        <f>IFERROR(__xludf.DUMMYFUNCTION("""COMPUTED_VALUE"""),227.69)</f>
        <v>227.69</v>
      </c>
      <c r="C29" s="5">
        <f>IFERROR(__xludf.DUMMYFUNCTION("""COMPUTED_VALUE"""),231.87)</f>
        <v>231.87</v>
      </c>
      <c r="D29" s="5">
        <f>IFERROR(__xludf.DUMMYFUNCTION("""COMPUTED_VALUE"""),214.33)</f>
        <v>214.33</v>
      </c>
      <c r="E29" s="5">
        <f>IFERROR(__xludf.DUMMYFUNCTION("""COMPUTED_VALUE"""),216.86)</f>
        <v>216.86</v>
      </c>
      <c r="F29" s="5">
        <f>IFERROR(__xludf.DUMMYFUNCTION("""COMPUTED_VALUE"""),8.3861898E7)</f>
        <v>83861898</v>
      </c>
    </row>
    <row r="30">
      <c r="A30" s="7">
        <f>IFERROR(__xludf.DUMMYFUNCTION("""COMPUTED_VALUE"""),45506.66666666667)</f>
        <v>45506.66667</v>
      </c>
      <c r="B30" s="5">
        <f>IFERROR(__xludf.DUMMYFUNCTION("""COMPUTED_VALUE"""),214.88)</f>
        <v>214.88</v>
      </c>
      <c r="C30" s="5">
        <f>IFERROR(__xludf.DUMMYFUNCTION("""COMPUTED_VALUE"""),216.13)</f>
        <v>216.13</v>
      </c>
      <c r="D30" s="5">
        <f>IFERROR(__xludf.DUMMYFUNCTION("""COMPUTED_VALUE"""),205.78)</f>
        <v>205.78</v>
      </c>
      <c r="E30" s="5">
        <f>IFERROR(__xludf.DUMMYFUNCTION("""COMPUTED_VALUE"""),207.67)</f>
        <v>207.67</v>
      </c>
      <c r="F30" s="5">
        <f>IFERROR(__xludf.DUMMYFUNCTION("""COMPUTED_VALUE"""),8.288012E7)</f>
        <v>82880120</v>
      </c>
    </row>
    <row r="31">
      <c r="A31" s="7">
        <f>IFERROR(__xludf.DUMMYFUNCTION("""COMPUTED_VALUE"""),45509.66666666667)</f>
        <v>45509.66667</v>
      </c>
      <c r="B31" s="5">
        <f>IFERROR(__xludf.DUMMYFUNCTION("""COMPUTED_VALUE"""),185.22)</f>
        <v>185.22</v>
      </c>
      <c r="C31" s="5">
        <f>IFERROR(__xludf.DUMMYFUNCTION("""COMPUTED_VALUE"""),203.88)</f>
        <v>203.88</v>
      </c>
      <c r="D31" s="5">
        <f>IFERROR(__xludf.DUMMYFUNCTION("""COMPUTED_VALUE"""),182.0)</f>
        <v>182</v>
      </c>
      <c r="E31" s="5">
        <f>IFERROR(__xludf.DUMMYFUNCTION("""COMPUTED_VALUE"""),198.88)</f>
        <v>198.88</v>
      </c>
      <c r="F31" s="5">
        <f>IFERROR(__xludf.DUMMYFUNCTION("""COMPUTED_VALUE"""),1.00308836E8)</f>
        <v>100308836</v>
      </c>
    </row>
    <row r="32">
      <c r="A32" s="7">
        <f>IFERROR(__xludf.DUMMYFUNCTION("""COMPUTED_VALUE"""),45510.66666666667)</f>
        <v>45510.66667</v>
      </c>
      <c r="B32" s="5">
        <f>IFERROR(__xludf.DUMMYFUNCTION("""COMPUTED_VALUE"""),200.75)</f>
        <v>200.75</v>
      </c>
      <c r="C32" s="5">
        <f>IFERROR(__xludf.DUMMYFUNCTION("""COMPUTED_VALUE"""),202.9)</f>
        <v>202.9</v>
      </c>
      <c r="D32" s="5">
        <f>IFERROR(__xludf.DUMMYFUNCTION("""COMPUTED_VALUE"""),192.67)</f>
        <v>192.67</v>
      </c>
      <c r="E32" s="5">
        <f>IFERROR(__xludf.DUMMYFUNCTION("""COMPUTED_VALUE"""),200.64)</f>
        <v>200.64</v>
      </c>
      <c r="F32" s="5">
        <f>IFERROR(__xludf.DUMMYFUNCTION("""COMPUTED_VALUE"""),7.3783942E7)</f>
        <v>73783942</v>
      </c>
    </row>
    <row r="33">
      <c r="A33" s="7">
        <f>IFERROR(__xludf.DUMMYFUNCTION("""COMPUTED_VALUE"""),45511.66666666667)</f>
        <v>45511.66667</v>
      </c>
      <c r="B33" s="5">
        <f>IFERROR(__xludf.DUMMYFUNCTION("""COMPUTED_VALUE"""),200.77)</f>
        <v>200.77</v>
      </c>
      <c r="C33" s="5">
        <f>IFERROR(__xludf.DUMMYFUNCTION("""COMPUTED_VALUE"""),203.49)</f>
        <v>203.49</v>
      </c>
      <c r="D33" s="5">
        <f>IFERROR(__xludf.DUMMYFUNCTION("""COMPUTED_VALUE"""),191.48)</f>
        <v>191.48</v>
      </c>
      <c r="E33" s="5">
        <f>IFERROR(__xludf.DUMMYFUNCTION("""COMPUTED_VALUE"""),191.76)</f>
        <v>191.76</v>
      </c>
      <c r="F33" s="5">
        <f>IFERROR(__xludf.DUMMYFUNCTION("""COMPUTED_VALUE"""),7.1159778E7)</f>
        <v>71159778</v>
      </c>
    </row>
    <row r="34">
      <c r="A34" s="7">
        <f>IFERROR(__xludf.DUMMYFUNCTION("""COMPUTED_VALUE"""),45512.66666666667)</f>
        <v>45512.66667</v>
      </c>
      <c r="B34" s="5">
        <f>IFERROR(__xludf.DUMMYFUNCTION("""COMPUTED_VALUE"""),195.7)</f>
        <v>195.7</v>
      </c>
      <c r="C34" s="5">
        <f>IFERROR(__xludf.DUMMYFUNCTION("""COMPUTED_VALUE"""),200.7)</f>
        <v>200.7</v>
      </c>
      <c r="D34" s="5">
        <f>IFERROR(__xludf.DUMMYFUNCTION("""COMPUTED_VALUE"""),192.04)</f>
        <v>192.04</v>
      </c>
      <c r="E34" s="5">
        <f>IFERROR(__xludf.DUMMYFUNCTION("""COMPUTED_VALUE"""),198.84)</f>
        <v>198.84</v>
      </c>
      <c r="F34" s="5">
        <f>IFERROR(__xludf.DUMMYFUNCTION("""COMPUTED_VALUE"""),6.5033874E7)</f>
        <v>65033874</v>
      </c>
    </row>
    <row r="35">
      <c r="A35" s="7">
        <f>IFERROR(__xludf.DUMMYFUNCTION("""COMPUTED_VALUE"""),45513.66666666667)</f>
        <v>45513.66667</v>
      </c>
      <c r="B35" s="5">
        <f>IFERROR(__xludf.DUMMYFUNCTION("""COMPUTED_VALUE"""),197.05)</f>
        <v>197.05</v>
      </c>
      <c r="C35" s="5">
        <f>IFERROR(__xludf.DUMMYFUNCTION("""COMPUTED_VALUE"""),200.88)</f>
        <v>200.88</v>
      </c>
      <c r="D35" s="5">
        <f>IFERROR(__xludf.DUMMYFUNCTION("""COMPUTED_VALUE"""),195.11)</f>
        <v>195.11</v>
      </c>
      <c r="E35" s="5">
        <f>IFERROR(__xludf.DUMMYFUNCTION("""COMPUTED_VALUE"""),200.0)</f>
        <v>200</v>
      </c>
      <c r="F35" s="5">
        <f>IFERROR(__xludf.DUMMYFUNCTION("""COMPUTED_VALUE"""),5.8648274E7)</f>
        <v>58648274</v>
      </c>
    </row>
    <row r="36">
      <c r="A36" s="7">
        <f>IFERROR(__xludf.DUMMYFUNCTION("""COMPUTED_VALUE"""),45516.66666666667)</f>
        <v>45516.66667</v>
      </c>
      <c r="B36" s="5">
        <f>IFERROR(__xludf.DUMMYFUNCTION("""COMPUTED_VALUE"""),199.02)</f>
        <v>199.02</v>
      </c>
      <c r="C36" s="5">
        <f>IFERROR(__xludf.DUMMYFUNCTION("""COMPUTED_VALUE"""),199.26)</f>
        <v>199.26</v>
      </c>
      <c r="D36" s="5">
        <f>IFERROR(__xludf.DUMMYFUNCTION("""COMPUTED_VALUE"""),194.67)</f>
        <v>194.67</v>
      </c>
      <c r="E36" s="5">
        <f>IFERROR(__xludf.DUMMYFUNCTION("""COMPUTED_VALUE"""),197.49)</f>
        <v>197.49</v>
      </c>
      <c r="F36" s="5">
        <f>IFERROR(__xludf.DUMMYFUNCTION("""COMPUTED_VALUE"""),6.4044903E7)</f>
        <v>64044903</v>
      </c>
    </row>
    <row r="37">
      <c r="A37" s="7">
        <f>IFERROR(__xludf.DUMMYFUNCTION("""COMPUTED_VALUE"""),45517.66666666667)</f>
        <v>45517.66667</v>
      </c>
      <c r="B37" s="5">
        <f>IFERROR(__xludf.DUMMYFUNCTION("""COMPUTED_VALUE"""),198.47)</f>
        <v>198.47</v>
      </c>
      <c r="C37" s="5">
        <f>IFERROR(__xludf.DUMMYFUNCTION("""COMPUTED_VALUE"""),208.49)</f>
        <v>208.49</v>
      </c>
      <c r="D37" s="5">
        <f>IFERROR(__xludf.DUMMYFUNCTION("""COMPUTED_VALUE"""),197.06)</f>
        <v>197.06</v>
      </c>
      <c r="E37" s="5">
        <f>IFERROR(__xludf.DUMMYFUNCTION("""COMPUTED_VALUE"""),207.83)</f>
        <v>207.83</v>
      </c>
      <c r="F37" s="5">
        <f>IFERROR(__xludf.DUMMYFUNCTION("""COMPUTED_VALUE"""),7.6247387E7)</f>
        <v>76247387</v>
      </c>
    </row>
    <row r="38">
      <c r="A38" s="7">
        <f>IFERROR(__xludf.DUMMYFUNCTION("""COMPUTED_VALUE"""),45518.66666666667)</f>
        <v>45518.66667</v>
      </c>
      <c r="B38" s="5">
        <f>IFERROR(__xludf.DUMMYFUNCTION("""COMPUTED_VALUE"""),207.39)</f>
        <v>207.39</v>
      </c>
      <c r="C38" s="5">
        <f>IFERROR(__xludf.DUMMYFUNCTION("""COMPUTED_VALUE"""),208.44)</f>
        <v>208.44</v>
      </c>
      <c r="D38" s="5">
        <f>IFERROR(__xludf.DUMMYFUNCTION("""COMPUTED_VALUE"""),198.75)</f>
        <v>198.75</v>
      </c>
      <c r="E38" s="5">
        <f>IFERROR(__xludf.DUMMYFUNCTION("""COMPUTED_VALUE"""),201.38)</f>
        <v>201.38</v>
      </c>
      <c r="F38" s="5">
        <f>IFERROR(__xludf.DUMMYFUNCTION("""COMPUTED_VALUE"""),7.0250014E7)</f>
        <v>70250014</v>
      </c>
    </row>
    <row r="39">
      <c r="A39" s="7">
        <f>IFERROR(__xludf.DUMMYFUNCTION("""COMPUTED_VALUE"""),45519.66666666667)</f>
        <v>45519.66667</v>
      </c>
      <c r="B39" s="5">
        <f>IFERROR(__xludf.DUMMYFUNCTION("""COMPUTED_VALUE"""),205.02)</f>
        <v>205.02</v>
      </c>
      <c r="C39" s="5">
        <f>IFERROR(__xludf.DUMMYFUNCTION("""COMPUTED_VALUE"""),215.88)</f>
        <v>215.88</v>
      </c>
      <c r="D39" s="5">
        <f>IFERROR(__xludf.DUMMYFUNCTION("""COMPUTED_VALUE"""),204.82)</f>
        <v>204.82</v>
      </c>
      <c r="E39" s="5">
        <f>IFERROR(__xludf.DUMMYFUNCTION("""COMPUTED_VALUE"""),214.14)</f>
        <v>214.14</v>
      </c>
      <c r="F39" s="5">
        <f>IFERROR(__xludf.DUMMYFUNCTION("""COMPUTED_VALUE"""),8.984853E7)</f>
        <v>89848530</v>
      </c>
    </row>
    <row r="40">
      <c r="A40" s="7">
        <f>IFERROR(__xludf.DUMMYFUNCTION("""COMPUTED_VALUE"""),45520.66666666667)</f>
        <v>45520.66667</v>
      </c>
      <c r="B40" s="5">
        <f>IFERROR(__xludf.DUMMYFUNCTION("""COMPUTED_VALUE"""),211.15)</f>
        <v>211.15</v>
      </c>
      <c r="C40" s="5">
        <f>IFERROR(__xludf.DUMMYFUNCTION("""COMPUTED_VALUE"""),219.8)</f>
        <v>219.8</v>
      </c>
      <c r="D40" s="5">
        <f>IFERROR(__xludf.DUMMYFUNCTION("""COMPUTED_VALUE"""),210.8)</f>
        <v>210.8</v>
      </c>
      <c r="E40" s="5">
        <f>IFERROR(__xludf.DUMMYFUNCTION("""COMPUTED_VALUE"""),216.12)</f>
        <v>216.12</v>
      </c>
      <c r="F40" s="5">
        <f>IFERROR(__xludf.DUMMYFUNCTION("""COMPUTED_VALUE"""),8.8765122E7)</f>
        <v>88765122</v>
      </c>
    </row>
    <row r="41">
      <c r="A41" s="7">
        <f>IFERROR(__xludf.DUMMYFUNCTION("""COMPUTED_VALUE"""),45523.66666666667)</f>
        <v>45523.66667</v>
      </c>
      <c r="B41" s="5">
        <f>IFERROR(__xludf.DUMMYFUNCTION("""COMPUTED_VALUE"""),217.07)</f>
        <v>217.07</v>
      </c>
      <c r="C41" s="5">
        <f>IFERROR(__xludf.DUMMYFUNCTION("""COMPUTED_VALUE"""),222.98)</f>
        <v>222.98</v>
      </c>
      <c r="D41" s="5">
        <f>IFERROR(__xludf.DUMMYFUNCTION("""COMPUTED_VALUE"""),214.09)</f>
        <v>214.09</v>
      </c>
      <c r="E41" s="5">
        <f>IFERROR(__xludf.DUMMYFUNCTION("""COMPUTED_VALUE"""),222.72)</f>
        <v>222.72</v>
      </c>
      <c r="F41" s="5">
        <f>IFERROR(__xludf.DUMMYFUNCTION("""COMPUTED_VALUE"""),7.6435222E7)</f>
        <v>76435222</v>
      </c>
    </row>
    <row r="42">
      <c r="A42" s="7">
        <f>IFERROR(__xludf.DUMMYFUNCTION("""COMPUTED_VALUE"""),45524.66666666667)</f>
        <v>45524.66667</v>
      </c>
      <c r="B42" s="5">
        <f>IFERROR(__xludf.DUMMYFUNCTION("""COMPUTED_VALUE"""),224.88)</f>
        <v>224.88</v>
      </c>
      <c r="C42" s="5">
        <f>IFERROR(__xludf.DUMMYFUNCTION("""COMPUTED_VALUE"""),228.22)</f>
        <v>228.22</v>
      </c>
      <c r="D42" s="5">
        <f>IFERROR(__xludf.DUMMYFUNCTION("""COMPUTED_VALUE"""),219.56)</f>
        <v>219.56</v>
      </c>
      <c r="E42" s="5">
        <f>IFERROR(__xludf.DUMMYFUNCTION("""COMPUTED_VALUE"""),221.1)</f>
        <v>221.1</v>
      </c>
      <c r="F42" s="5">
        <f>IFERROR(__xludf.DUMMYFUNCTION("""COMPUTED_VALUE"""),7.4001182E7)</f>
        <v>74001182</v>
      </c>
    </row>
    <row r="43">
      <c r="A43" s="7">
        <f>IFERROR(__xludf.DUMMYFUNCTION("""COMPUTED_VALUE"""),45525.66666666667)</f>
        <v>45525.66667</v>
      </c>
      <c r="B43" s="5">
        <f>IFERROR(__xludf.DUMMYFUNCTION("""COMPUTED_VALUE"""),222.67)</f>
        <v>222.67</v>
      </c>
      <c r="C43" s="5">
        <f>IFERROR(__xludf.DUMMYFUNCTION("""COMPUTED_VALUE"""),224.66)</f>
        <v>224.66</v>
      </c>
      <c r="D43" s="5">
        <f>IFERROR(__xludf.DUMMYFUNCTION("""COMPUTED_VALUE"""),218.86)</f>
        <v>218.86</v>
      </c>
      <c r="E43" s="5">
        <f>IFERROR(__xludf.DUMMYFUNCTION("""COMPUTED_VALUE"""),223.27)</f>
        <v>223.27</v>
      </c>
      <c r="F43" s="5">
        <f>IFERROR(__xludf.DUMMYFUNCTION("""COMPUTED_VALUE"""),7.0145964E7)</f>
        <v>70145964</v>
      </c>
    </row>
    <row r="44">
      <c r="A44" s="7">
        <f>IFERROR(__xludf.DUMMYFUNCTION("""COMPUTED_VALUE"""),45526.66666666667)</f>
        <v>45526.66667</v>
      </c>
      <c r="B44" s="5">
        <f>IFERROR(__xludf.DUMMYFUNCTION("""COMPUTED_VALUE"""),223.82)</f>
        <v>223.82</v>
      </c>
      <c r="C44" s="5">
        <f>IFERROR(__xludf.DUMMYFUNCTION("""COMPUTED_VALUE"""),224.8)</f>
        <v>224.8</v>
      </c>
      <c r="D44" s="5">
        <f>IFERROR(__xludf.DUMMYFUNCTION("""COMPUTED_VALUE"""),210.32)</f>
        <v>210.32</v>
      </c>
      <c r="E44" s="5">
        <f>IFERROR(__xludf.DUMMYFUNCTION("""COMPUTED_VALUE"""),210.66)</f>
        <v>210.66</v>
      </c>
      <c r="F44" s="5">
        <f>IFERROR(__xludf.DUMMYFUNCTION("""COMPUTED_VALUE"""),7.9514482E7)</f>
        <v>79514482</v>
      </c>
    </row>
    <row r="45">
      <c r="A45" s="7">
        <f>IFERROR(__xludf.DUMMYFUNCTION("""COMPUTED_VALUE"""),45527.66666666667)</f>
        <v>45527.66667</v>
      </c>
      <c r="B45" s="5">
        <f>IFERROR(__xludf.DUMMYFUNCTION("""COMPUTED_VALUE"""),214.46)</f>
        <v>214.46</v>
      </c>
      <c r="C45" s="5">
        <f>IFERROR(__xludf.DUMMYFUNCTION("""COMPUTED_VALUE"""),221.48)</f>
        <v>221.48</v>
      </c>
      <c r="D45" s="5">
        <f>IFERROR(__xludf.DUMMYFUNCTION("""COMPUTED_VALUE"""),214.21)</f>
        <v>214.21</v>
      </c>
      <c r="E45" s="5">
        <f>IFERROR(__xludf.DUMMYFUNCTION("""COMPUTED_VALUE"""),220.32)</f>
        <v>220.32</v>
      </c>
      <c r="F45" s="5">
        <f>IFERROR(__xludf.DUMMYFUNCTION("""COMPUTED_VALUE"""),8.1525207E7)</f>
        <v>81525207</v>
      </c>
    </row>
    <row r="46">
      <c r="A46" s="7">
        <f>IFERROR(__xludf.DUMMYFUNCTION("""COMPUTED_VALUE"""),45530.66666666667)</f>
        <v>45530.66667</v>
      </c>
      <c r="B46" s="5">
        <f>IFERROR(__xludf.DUMMYFUNCTION("""COMPUTED_VALUE"""),218.75)</f>
        <v>218.75</v>
      </c>
      <c r="C46" s="5">
        <f>IFERROR(__xludf.DUMMYFUNCTION("""COMPUTED_VALUE"""),219.09)</f>
        <v>219.09</v>
      </c>
      <c r="D46" s="5">
        <f>IFERROR(__xludf.DUMMYFUNCTION("""COMPUTED_VALUE"""),211.01)</f>
        <v>211.01</v>
      </c>
      <c r="E46" s="5">
        <f>IFERROR(__xludf.DUMMYFUNCTION("""COMPUTED_VALUE"""),213.21)</f>
        <v>213.21</v>
      </c>
      <c r="F46" s="5">
        <f>IFERROR(__xludf.DUMMYFUNCTION("""COMPUTED_VALUE"""),5.9301187E7)</f>
        <v>59301187</v>
      </c>
    </row>
    <row r="47">
      <c r="A47" s="7">
        <f>IFERROR(__xludf.DUMMYFUNCTION("""COMPUTED_VALUE"""),45531.66666666667)</f>
        <v>45531.66667</v>
      </c>
      <c r="B47" s="5">
        <f>IFERROR(__xludf.DUMMYFUNCTION("""COMPUTED_VALUE"""),213.25)</f>
        <v>213.25</v>
      </c>
      <c r="C47" s="5">
        <f>IFERROR(__xludf.DUMMYFUNCTION("""COMPUTED_VALUE"""),215.66)</f>
        <v>215.66</v>
      </c>
      <c r="D47" s="5">
        <f>IFERROR(__xludf.DUMMYFUNCTION("""COMPUTED_VALUE"""),206.94)</f>
        <v>206.94</v>
      </c>
      <c r="E47" s="5">
        <f>IFERROR(__xludf.DUMMYFUNCTION("""COMPUTED_VALUE"""),209.21)</f>
        <v>209.21</v>
      </c>
      <c r="F47" s="5">
        <f>IFERROR(__xludf.DUMMYFUNCTION("""COMPUTED_VALUE"""),6.282139E7)</f>
        <v>62821390</v>
      </c>
    </row>
    <row r="48">
      <c r="A48" s="7">
        <f>IFERROR(__xludf.DUMMYFUNCTION("""COMPUTED_VALUE"""),45532.66666666667)</f>
        <v>45532.66667</v>
      </c>
      <c r="B48" s="5">
        <f>IFERROR(__xludf.DUMMYFUNCTION("""COMPUTED_VALUE"""),209.72)</f>
        <v>209.72</v>
      </c>
      <c r="C48" s="5">
        <f>IFERROR(__xludf.DUMMYFUNCTION("""COMPUTED_VALUE"""),211.84)</f>
        <v>211.84</v>
      </c>
      <c r="D48" s="5">
        <f>IFERROR(__xludf.DUMMYFUNCTION("""COMPUTED_VALUE"""),202.59)</f>
        <v>202.59</v>
      </c>
      <c r="E48" s="5">
        <f>IFERROR(__xludf.DUMMYFUNCTION("""COMPUTED_VALUE"""),205.75)</f>
        <v>205.75</v>
      </c>
      <c r="F48" s="5">
        <f>IFERROR(__xludf.DUMMYFUNCTION("""COMPUTED_VALUE"""),6.411635E7)</f>
        <v>64116350</v>
      </c>
    </row>
    <row r="49">
      <c r="A49" s="7">
        <f>IFERROR(__xludf.DUMMYFUNCTION("""COMPUTED_VALUE"""),45533.66666666667)</f>
        <v>45533.66667</v>
      </c>
      <c r="B49" s="5">
        <f>IFERROR(__xludf.DUMMYFUNCTION("""COMPUTED_VALUE"""),209.8)</f>
        <v>209.8</v>
      </c>
      <c r="C49" s="5">
        <f>IFERROR(__xludf.DUMMYFUNCTION("""COMPUTED_VALUE"""),214.89)</f>
        <v>214.89</v>
      </c>
      <c r="D49" s="5">
        <f>IFERROR(__xludf.DUMMYFUNCTION("""COMPUTED_VALUE"""),205.97)</f>
        <v>205.97</v>
      </c>
      <c r="E49" s="5">
        <f>IFERROR(__xludf.DUMMYFUNCTION("""COMPUTED_VALUE"""),206.28)</f>
        <v>206.28</v>
      </c>
      <c r="F49" s="5">
        <f>IFERROR(__xludf.DUMMYFUNCTION("""COMPUTED_VALUE"""),6.2308818E7)</f>
        <v>62308818</v>
      </c>
    </row>
    <row r="50">
      <c r="A50" s="7">
        <f>IFERROR(__xludf.DUMMYFUNCTION("""COMPUTED_VALUE"""),45534.66666666667)</f>
        <v>45534.66667</v>
      </c>
      <c r="B50" s="5">
        <f>IFERROR(__xludf.DUMMYFUNCTION("""COMPUTED_VALUE"""),208.63)</f>
        <v>208.63</v>
      </c>
      <c r="C50" s="5">
        <f>IFERROR(__xludf.DUMMYFUNCTION("""COMPUTED_VALUE"""),214.57)</f>
        <v>214.57</v>
      </c>
      <c r="D50" s="5">
        <f>IFERROR(__xludf.DUMMYFUNCTION("""COMPUTED_VALUE"""),207.03)</f>
        <v>207.03</v>
      </c>
      <c r="E50" s="5">
        <f>IFERROR(__xludf.DUMMYFUNCTION("""COMPUTED_VALUE"""),214.11)</f>
        <v>214.11</v>
      </c>
      <c r="F50" s="5">
        <f>IFERROR(__xludf.DUMMYFUNCTION("""COMPUTED_VALUE"""),6.3370608E7)</f>
        <v>63370608</v>
      </c>
    </row>
    <row r="51">
      <c r="A51" s="7">
        <f>IFERROR(__xludf.DUMMYFUNCTION("""COMPUTED_VALUE"""),45538.66666666667)</f>
        <v>45538.66667</v>
      </c>
      <c r="B51" s="5">
        <f>IFERROR(__xludf.DUMMYFUNCTION("""COMPUTED_VALUE"""),215.26)</f>
        <v>215.26</v>
      </c>
      <c r="C51" s="5">
        <f>IFERROR(__xludf.DUMMYFUNCTION("""COMPUTED_VALUE"""),219.9)</f>
        <v>219.9</v>
      </c>
      <c r="D51" s="5">
        <f>IFERROR(__xludf.DUMMYFUNCTION("""COMPUTED_VALUE"""),209.64)</f>
        <v>209.64</v>
      </c>
      <c r="E51" s="5">
        <f>IFERROR(__xludf.DUMMYFUNCTION("""COMPUTED_VALUE"""),210.6)</f>
        <v>210.6</v>
      </c>
      <c r="F51" s="5">
        <f>IFERROR(__xludf.DUMMYFUNCTION("""COMPUTED_VALUE"""),7.6714222E7)</f>
        <v>76714222</v>
      </c>
    </row>
    <row r="52">
      <c r="A52" s="7">
        <f>IFERROR(__xludf.DUMMYFUNCTION("""COMPUTED_VALUE"""),45539.66666666667)</f>
        <v>45539.66667</v>
      </c>
      <c r="B52" s="5">
        <f>IFERROR(__xludf.DUMMYFUNCTION("""COMPUTED_VALUE"""),210.59)</f>
        <v>210.59</v>
      </c>
      <c r="C52" s="5">
        <f>IFERROR(__xludf.DUMMYFUNCTION("""COMPUTED_VALUE"""),222.22)</f>
        <v>222.22</v>
      </c>
      <c r="D52" s="5">
        <f>IFERROR(__xludf.DUMMYFUNCTION("""COMPUTED_VALUE"""),210.57)</f>
        <v>210.57</v>
      </c>
      <c r="E52" s="5">
        <f>IFERROR(__xludf.DUMMYFUNCTION("""COMPUTED_VALUE"""),219.41)</f>
        <v>219.41</v>
      </c>
      <c r="F52" s="5">
        <f>IFERROR(__xludf.DUMMYFUNCTION("""COMPUTED_VALUE"""),8.0651767E7)</f>
        <v>80651767</v>
      </c>
    </row>
    <row r="53">
      <c r="A53" s="7">
        <f>IFERROR(__xludf.DUMMYFUNCTION("""COMPUTED_VALUE"""),45540.66666666667)</f>
        <v>45540.66667</v>
      </c>
      <c r="B53" s="5">
        <f>IFERROR(__xludf.DUMMYFUNCTION("""COMPUTED_VALUE"""),223.49)</f>
        <v>223.49</v>
      </c>
      <c r="C53" s="5">
        <f>IFERROR(__xludf.DUMMYFUNCTION("""COMPUTED_VALUE"""),235.0)</f>
        <v>235</v>
      </c>
      <c r="D53" s="5">
        <f>IFERROR(__xludf.DUMMYFUNCTION("""COMPUTED_VALUE"""),222.25)</f>
        <v>222.25</v>
      </c>
      <c r="E53" s="5">
        <f>IFERROR(__xludf.DUMMYFUNCTION("""COMPUTED_VALUE"""),230.17)</f>
        <v>230.17</v>
      </c>
      <c r="F53" s="5">
        <f>IFERROR(__xludf.DUMMYFUNCTION("""COMPUTED_VALUE"""),1.19355013E8)</f>
        <v>119355013</v>
      </c>
    </row>
    <row r="54">
      <c r="A54" s="7">
        <f>IFERROR(__xludf.DUMMYFUNCTION("""COMPUTED_VALUE"""),45541.66666666667)</f>
        <v>45541.66667</v>
      </c>
      <c r="B54" s="5">
        <f>IFERROR(__xludf.DUMMYFUNCTION("""COMPUTED_VALUE"""),232.6)</f>
        <v>232.6</v>
      </c>
      <c r="C54" s="5">
        <f>IFERROR(__xludf.DUMMYFUNCTION("""COMPUTED_VALUE"""),233.6)</f>
        <v>233.6</v>
      </c>
      <c r="D54" s="5">
        <f>IFERROR(__xludf.DUMMYFUNCTION("""COMPUTED_VALUE"""),210.51)</f>
        <v>210.51</v>
      </c>
      <c r="E54" s="5">
        <f>IFERROR(__xludf.DUMMYFUNCTION("""COMPUTED_VALUE"""),210.73)</f>
        <v>210.73</v>
      </c>
      <c r="F54" s="5">
        <f>IFERROR(__xludf.DUMMYFUNCTION("""COMPUTED_VALUE"""),1.12177004E8)</f>
        <v>112177004</v>
      </c>
    </row>
    <row r="55">
      <c r="A55" s="7">
        <f>IFERROR(__xludf.DUMMYFUNCTION("""COMPUTED_VALUE"""),45544.66666666667)</f>
        <v>45544.66667</v>
      </c>
      <c r="B55" s="5">
        <f>IFERROR(__xludf.DUMMYFUNCTION("""COMPUTED_VALUE"""),216.2)</f>
        <v>216.2</v>
      </c>
      <c r="C55" s="5">
        <f>IFERROR(__xludf.DUMMYFUNCTION("""COMPUTED_VALUE"""),219.87)</f>
        <v>219.87</v>
      </c>
      <c r="D55" s="5">
        <f>IFERROR(__xludf.DUMMYFUNCTION("""COMPUTED_VALUE"""),213.67)</f>
        <v>213.67</v>
      </c>
      <c r="E55" s="5">
        <f>IFERROR(__xludf.DUMMYFUNCTION("""COMPUTED_VALUE"""),216.27)</f>
        <v>216.27</v>
      </c>
      <c r="F55" s="5">
        <f>IFERROR(__xludf.DUMMYFUNCTION("""COMPUTED_VALUE"""),6.7443518E7)</f>
        <v>67443518</v>
      </c>
    </row>
    <row r="56">
      <c r="A56" s="7">
        <f>IFERROR(__xludf.DUMMYFUNCTION("""COMPUTED_VALUE"""),45545.66666666667)</f>
        <v>45545.66667</v>
      </c>
      <c r="B56" s="5">
        <f>IFERROR(__xludf.DUMMYFUNCTION("""COMPUTED_VALUE"""),220.07)</f>
        <v>220.07</v>
      </c>
      <c r="C56" s="5">
        <f>IFERROR(__xludf.DUMMYFUNCTION("""COMPUTED_VALUE"""),226.4)</f>
        <v>226.4</v>
      </c>
      <c r="D56" s="5">
        <f>IFERROR(__xludf.DUMMYFUNCTION("""COMPUTED_VALUE"""),218.64)</f>
        <v>218.64</v>
      </c>
      <c r="E56" s="5">
        <f>IFERROR(__xludf.DUMMYFUNCTION("""COMPUTED_VALUE"""),226.17)</f>
        <v>226.17</v>
      </c>
      <c r="F56" s="5">
        <f>IFERROR(__xludf.DUMMYFUNCTION("""COMPUTED_VALUE"""),7.8891136E7)</f>
        <v>78891136</v>
      </c>
    </row>
    <row r="57">
      <c r="A57" s="7">
        <f>IFERROR(__xludf.DUMMYFUNCTION("""COMPUTED_VALUE"""),45546.66666666667)</f>
        <v>45546.66667</v>
      </c>
      <c r="B57" s="5">
        <f>IFERROR(__xludf.DUMMYFUNCTION("""COMPUTED_VALUE"""),224.55)</f>
        <v>224.55</v>
      </c>
      <c r="C57" s="5">
        <f>IFERROR(__xludf.DUMMYFUNCTION("""COMPUTED_VALUE"""),228.47)</f>
        <v>228.47</v>
      </c>
      <c r="D57" s="5">
        <f>IFERROR(__xludf.DUMMYFUNCTION("""COMPUTED_VALUE"""),216.8)</f>
        <v>216.8</v>
      </c>
      <c r="E57" s="5">
        <f>IFERROR(__xludf.DUMMYFUNCTION("""COMPUTED_VALUE"""),228.13)</f>
        <v>228.13</v>
      </c>
      <c r="F57" s="5">
        <f>IFERROR(__xludf.DUMMYFUNCTION("""COMPUTED_VALUE"""),8.3548633E7)</f>
        <v>83548633</v>
      </c>
    </row>
    <row r="58">
      <c r="A58" s="7">
        <f>IFERROR(__xludf.DUMMYFUNCTION("""COMPUTED_VALUE"""),45547.66666666667)</f>
        <v>45547.66667</v>
      </c>
      <c r="B58" s="5">
        <f>IFERROR(__xludf.DUMMYFUNCTION("""COMPUTED_VALUE"""),224.66)</f>
        <v>224.66</v>
      </c>
      <c r="C58" s="5">
        <f>IFERROR(__xludf.DUMMYFUNCTION("""COMPUTED_VALUE"""),231.45)</f>
        <v>231.45</v>
      </c>
      <c r="D58" s="5">
        <f>IFERROR(__xludf.DUMMYFUNCTION("""COMPUTED_VALUE"""),223.83)</f>
        <v>223.83</v>
      </c>
      <c r="E58" s="5">
        <f>IFERROR(__xludf.DUMMYFUNCTION("""COMPUTED_VALUE"""),229.81)</f>
        <v>229.81</v>
      </c>
      <c r="F58" s="5">
        <f>IFERROR(__xludf.DUMMYFUNCTION("""COMPUTED_VALUE"""),7.2020042E7)</f>
        <v>72020042</v>
      </c>
    </row>
    <row r="59">
      <c r="A59" s="7">
        <f>IFERROR(__xludf.DUMMYFUNCTION("""COMPUTED_VALUE"""),45548.66666666667)</f>
        <v>45548.66667</v>
      </c>
      <c r="B59" s="5">
        <f>IFERROR(__xludf.DUMMYFUNCTION("""COMPUTED_VALUE"""),228.0)</f>
        <v>228</v>
      </c>
      <c r="C59" s="5">
        <f>IFERROR(__xludf.DUMMYFUNCTION("""COMPUTED_VALUE"""),232.67)</f>
        <v>232.67</v>
      </c>
      <c r="D59" s="5">
        <f>IFERROR(__xludf.DUMMYFUNCTION("""COMPUTED_VALUE"""),226.32)</f>
        <v>226.32</v>
      </c>
      <c r="E59" s="5">
        <f>IFERROR(__xludf.DUMMYFUNCTION("""COMPUTED_VALUE"""),230.29)</f>
        <v>230.29</v>
      </c>
      <c r="F59" s="5">
        <f>IFERROR(__xludf.DUMMYFUNCTION("""COMPUTED_VALUE"""),5.9515114E7)</f>
        <v>59515114</v>
      </c>
    </row>
    <row r="60">
      <c r="A60" s="7">
        <f>IFERROR(__xludf.DUMMYFUNCTION("""COMPUTED_VALUE"""),45551.66666666667)</f>
        <v>45551.66667</v>
      </c>
      <c r="B60" s="5">
        <f>IFERROR(__xludf.DUMMYFUNCTION("""COMPUTED_VALUE"""),229.3)</f>
        <v>229.3</v>
      </c>
      <c r="C60" s="5">
        <f>IFERROR(__xludf.DUMMYFUNCTION("""COMPUTED_VALUE"""),229.96)</f>
        <v>229.96</v>
      </c>
      <c r="D60" s="5">
        <f>IFERROR(__xludf.DUMMYFUNCTION("""COMPUTED_VALUE"""),223.53)</f>
        <v>223.53</v>
      </c>
      <c r="E60" s="5">
        <f>IFERROR(__xludf.DUMMYFUNCTION("""COMPUTED_VALUE"""),226.78)</f>
        <v>226.78</v>
      </c>
      <c r="F60" s="5">
        <f>IFERROR(__xludf.DUMMYFUNCTION("""COMPUTED_VALUE"""),5.4322995E7)</f>
        <v>54322995</v>
      </c>
    </row>
    <row r="61">
      <c r="A61" s="7">
        <f>IFERROR(__xludf.DUMMYFUNCTION("""COMPUTED_VALUE"""),45552.66666666667)</f>
        <v>45552.66667</v>
      </c>
      <c r="B61" s="5">
        <f>IFERROR(__xludf.DUMMYFUNCTION("""COMPUTED_VALUE"""),229.45)</f>
        <v>229.45</v>
      </c>
      <c r="C61" s="5">
        <f>IFERROR(__xludf.DUMMYFUNCTION("""COMPUTED_VALUE"""),234.57)</f>
        <v>234.57</v>
      </c>
      <c r="D61" s="5">
        <f>IFERROR(__xludf.DUMMYFUNCTION("""COMPUTED_VALUE"""),226.55)</f>
        <v>226.55</v>
      </c>
      <c r="E61" s="5">
        <f>IFERROR(__xludf.DUMMYFUNCTION("""COMPUTED_VALUE"""),227.87)</f>
        <v>227.87</v>
      </c>
      <c r="F61" s="5">
        <f>IFERROR(__xludf.DUMMYFUNCTION("""COMPUTED_VALUE"""),6.6761636E7)</f>
        <v>66761636</v>
      </c>
    </row>
    <row r="62">
      <c r="A62" s="7">
        <f>IFERROR(__xludf.DUMMYFUNCTION("""COMPUTED_VALUE"""),45553.66666666667)</f>
        <v>45553.66667</v>
      </c>
      <c r="B62" s="5">
        <f>IFERROR(__xludf.DUMMYFUNCTION("""COMPUTED_VALUE"""),230.09)</f>
        <v>230.09</v>
      </c>
      <c r="C62" s="5">
        <f>IFERROR(__xludf.DUMMYFUNCTION("""COMPUTED_VALUE"""),235.68)</f>
        <v>235.68</v>
      </c>
      <c r="D62" s="5">
        <f>IFERROR(__xludf.DUMMYFUNCTION("""COMPUTED_VALUE"""),226.88)</f>
        <v>226.88</v>
      </c>
      <c r="E62" s="5">
        <f>IFERROR(__xludf.DUMMYFUNCTION("""COMPUTED_VALUE"""),227.2)</f>
        <v>227.2</v>
      </c>
      <c r="F62" s="5">
        <f>IFERROR(__xludf.DUMMYFUNCTION("""COMPUTED_VALUE"""),7.8010204E7)</f>
        <v>78010204</v>
      </c>
    </row>
    <row r="63">
      <c r="A63" s="7">
        <f>IFERROR(__xludf.DUMMYFUNCTION("""COMPUTED_VALUE"""),45554.66666666667)</f>
        <v>45554.66667</v>
      </c>
      <c r="B63" s="5">
        <f>IFERROR(__xludf.DUMMYFUNCTION("""COMPUTED_VALUE"""),234.0)</f>
        <v>234</v>
      </c>
      <c r="C63" s="5">
        <f>IFERROR(__xludf.DUMMYFUNCTION("""COMPUTED_VALUE"""),244.24)</f>
        <v>244.24</v>
      </c>
      <c r="D63" s="5">
        <f>IFERROR(__xludf.DUMMYFUNCTION("""COMPUTED_VALUE"""),232.13)</f>
        <v>232.13</v>
      </c>
      <c r="E63" s="5">
        <f>IFERROR(__xludf.DUMMYFUNCTION("""COMPUTED_VALUE"""),243.92)</f>
        <v>243.92</v>
      </c>
      <c r="F63" s="5">
        <f>IFERROR(__xludf.DUMMYFUNCTION("""COMPUTED_VALUE"""),1.02694576E8)</f>
        <v>102694576</v>
      </c>
    </row>
    <row r="64">
      <c r="A64" s="7">
        <f>IFERROR(__xludf.DUMMYFUNCTION("""COMPUTED_VALUE"""),45555.66666666667)</f>
        <v>45555.66667</v>
      </c>
      <c r="B64" s="5">
        <f>IFERROR(__xludf.DUMMYFUNCTION("""COMPUTED_VALUE"""),241.52)</f>
        <v>241.52</v>
      </c>
      <c r="C64" s="5">
        <f>IFERROR(__xludf.DUMMYFUNCTION("""COMPUTED_VALUE"""),243.99)</f>
        <v>243.99</v>
      </c>
      <c r="D64" s="5">
        <f>IFERROR(__xludf.DUMMYFUNCTION("""COMPUTED_VALUE"""),235.92)</f>
        <v>235.92</v>
      </c>
      <c r="E64" s="5">
        <f>IFERROR(__xludf.DUMMYFUNCTION("""COMPUTED_VALUE"""),238.25)</f>
        <v>238.25</v>
      </c>
      <c r="F64" s="5">
        <f>IFERROR(__xludf.DUMMYFUNCTION("""COMPUTED_VALUE"""),9.987907E7)</f>
        <v>99879070</v>
      </c>
    </row>
    <row r="65">
      <c r="A65" s="7">
        <f>IFERROR(__xludf.DUMMYFUNCTION("""COMPUTED_VALUE"""),45558.66666666667)</f>
        <v>45558.66667</v>
      </c>
      <c r="B65" s="5">
        <f>IFERROR(__xludf.DUMMYFUNCTION("""COMPUTED_VALUE"""),242.61)</f>
        <v>242.61</v>
      </c>
      <c r="C65" s="5">
        <f>IFERROR(__xludf.DUMMYFUNCTION("""COMPUTED_VALUE"""),250.0)</f>
        <v>250</v>
      </c>
      <c r="D65" s="5">
        <f>IFERROR(__xludf.DUMMYFUNCTION("""COMPUTED_VALUE"""),241.92)</f>
        <v>241.92</v>
      </c>
      <c r="E65" s="5">
        <f>IFERROR(__xludf.DUMMYFUNCTION("""COMPUTED_VALUE"""),250.0)</f>
        <v>250</v>
      </c>
      <c r="F65" s="5">
        <f>IFERROR(__xludf.DUMMYFUNCTION("""COMPUTED_VALUE"""),8.6927194E7)</f>
        <v>86927194</v>
      </c>
    </row>
    <row r="66">
      <c r="A66" s="7">
        <f>IFERROR(__xludf.DUMMYFUNCTION("""COMPUTED_VALUE"""),45559.66666666667)</f>
        <v>45559.66667</v>
      </c>
      <c r="B66" s="5">
        <f>IFERROR(__xludf.DUMMYFUNCTION("""COMPUTED_VALUE"""),254.08)</f>
        <v>254.08</v>
      </c>
      <c r="C66" s="5">
        <f>IFERROR(__xludf.DUMMYFUNCTION("""COMPUTED_VALUE"""),257.19)</f>
        <v>257.19</v>
      </c>
      <c r="D66" s="5">
        <f>IFERROR(__xludf.DUMMYFUNCTION("""COMPUTED_VALUE"""),249.05)</f>
        <v>249.05</v>
      </c>
      <c r="E66" s="5">
        <f>IFERROR(__xludf.DUMMYFUNCTION("""COMPUTED_VALUE"""),254.27)</f>
        <v>254.27</v>
      </c>
      <c r="F66" s="5">
        <f>IFERROR(__xludf.DUMMYFUNCTION("""COMPUTED_VALUE"""),8.8490999E7)</f>
        <v>88490999</v>
      </c>
    </row>
    <row r="67">
      <c r="A67" s="7">
        <f>IFERROR(__xludf.DUMMYFUNCTION("""COMPUTED_VALUE"""),45560.66666666667)</f>
        <v>45560.66667</v>
      </c>
      <c r="B67" s="5">
        <f>IFERROR(__xludf.DUMMYFUNCTION("""COMPUTED_VALUE"""),252.54)</f>
        <v>252.54</v>
      </c>
      <c r="C67" s="5">
        <f>IFERROR(__xludf.DUMMYFUNCTION("""COMPUTED_VALUE"""),257.05)</f>
        <v>257.05</v>
      </c>
      <c r="D67" s="5">
        <f>IFERROR(__xludf.DUMMYFUNCTION("""COMPUTED_VALUE"""),252.28)</f>
        <v>252.28</v>
      </c>
      <c r="E67" s="5">
        <f>IFERROR(__xludf.DUMMYFUNCTION("""COMPUTED_VALUE"""),257.02)</f>
        <v>257.02</v>
      </c>
      <c r="F67" s="5">
        <f>IFERROR(__xludf.DUMMYFUNCTION("""COMPUTED_VALUE"""),6.5034318E7)</f>
        <v>65034318</v>
      </c>
    </row>
    <row r="68">
      <c r="A68" s="7">
        <f>IFERROR(__xludf.DUMMYFUNCTION("""COMPUTED_VALUE"""),45561.66666666667)</f>
        <v>45561.66667</v>
      </c>
      <c r="B68" s="5">
        <f>IFERROR(__xludf.DUMMYFUNCTION("""COMPUTED_VALUE"""),260.6)</f>
        <v>260.6</v>
      </c>
      <c r="C68" s="5">
        <f>IFERROR(__xludf.DUMMYFUNCTION("""COMPUTED_VALUE"""),261.75)</f>
        <v>261.75</v>
      </c>
      <c r="D68" s="5">
        <f>IFERROR(__xludf.DUMMYFUNCTION("""COMPUTED_VALUE"""),251.53)</f>
        <v>251.53</v>
      </c>
      <c r="E68" s="5">
        <f>IFERROR(__xludf.DUMMYFUNCTION("""COMPUTED_VALUE"""),254.22)</f>
        <v>254.22</v>
      </c>
      <c r="F68" s="5">
        <f>IFERROR(__xludf.DUMMYFUNCTION("""COMPUTED_VALUE"""),6.7142193E7)</f>
        <v>67142193</v>
      </c>
    </row>
    <row r="69">
      <c r="A69" s="7">
        <f>IFERROR(__xludf.DUMMYFUNCTION("""COMPUTED_VALUE"""),45562.66666666667)</f>
        <v>45562.66667</v>
      </c>
      <c r="B69" s="5">
        <f>IFERROR(__xludf.DUMMYFUNCTION("""COMPUTED_VALUE"""),257.38)</f>
        <v>257.38</v>
      </c>
      <c r="C69" s="5">
        <f>IFERROR(__xludf.DUMMYFUNCTION("""COMPUTED_VALUE"""),260.7)</f>
        <v>260.7</v>
      </c>
      <c r="D69" s="5">
        <f>IFERROR(__xludf.DUMMYFUNCTION("""COMPUTED_VALUE"""),254.12)</f>
        <v>254.12</v>
      </c>
      <c r="E69" s="5">
        <f>IFERROR(__xludf.DUMMYFUNCTION("""COMPUTED_VALUE"""),260.46)</f>
        <v>260.46</v>
      </c>
      <c r="F69" s="5">
        <f>IFERROR(__xludf.DUMMYFUNCTION("""COMPUTED_VALUE"""),7.0988067E7)</f>
        <v>70988067</v>
      </c>
    </row>
    <row r="70">
      <c r="A70" s="7">
        <f>IFERROR(__xludf.DUMMYFUNCTION("""COMPUTED_VALUE"""),45565.66666666667)</f>
        <v>45565.66667</v>
      </c>
      <c r="B70" s="5">
        <f>IFERROR(__xludf.DUMMYFUNCTION("""COMPUTED_VALUE"""),259.04)</f>
        <v>259.04</v>
      </c>
      <c r="C70" s="5">
        <f>IFERROR(__xludf.DUMMYFUNCTION("""COMPUTED_VALUE"""),264.86)</f>
        <v>264.86</v>
      </c>
      <c r="D70" s="5">
        <f>IFERROR(__xludf.DUMMYFUNCTION("""COMPUTED_VALUE"""),255.77)</f>
        <v>255.77</v>
      </c>
      <c r="E70" s="5">
        <f>IFERROR(__xludf.DUMMYFUNCTION("""COMPUTED_VALUE"""),261.63)</f>
        <v>261.63</v>
      </c>
      <c r="F70" s="5">
        <f>IFERROR(__xludf.DUMMYFUNCTION("""COMPUTED_VALUE"""),8.0873381E7)</f>
        <v>80873381</v>
      </c>
    </row>
    <row r="71">
      <c r="A71" s="7">
        <f>IFERROR(__xludf.DUMMYFUNCTION("""COMPUTED_VALUE"""),45566.66666666667)</f>
        <v>45566.66667</v>
      </c>
      <c r="B71" s="5">
        <f>IFERROR(__xludf.DUMMYFUNCTION("""COMPUTED_VALUE"""),262.67)</f>
        <v>262.67</v>
      </c>
      <c r="C71" s="5">
        <f>IFERROR(__xludf.DUMMYFUNCTION("""COMPUTED_VALUE"""),263.98)</f>
        <v>263.98</v>
      </c>
      <c r="D71" s="5">
        <f>IFERROR(__xludf.DUMMYFUNCTION("""COMPUTED_VALUE"""),248.53)</f>
        <v>248.53</v>
      </c>
      <c r="E71" s="5">
        <f>IFERROR(__xludf.DUMMYFUNCTION("""COMPUTED_VALUE"""),258.02)</f>
        <v>258.02</v>
      </c>
      <c r="F71" s="5">
        <f>IFERROR(__xludf.DUMMYFUNCTION("""COMPUTED_VALUE"""),8.7397613E7)</f>
        <v>87397613</v>
      </c>
    </row>
    <row r="72">
      <c r="A72" s="7">
        <f>IFERROR(__xludf.DUMMYFUNCTION("""COMPUTED_VALUE"""),45567.66666666667)</f>
        <v>45567.66667</v>
      </c>
      <c r="B72" s="5">
        <f>IFERROR(__xludf.DUMMYFUNCTION("""COMPUTED_VALUE"""),247.55)</f>
        <v>247.55</v>
      </c>
      <c r="C72" s="5">
        <f>IFERROR(__xludf.DUMMYFUNCTION("""COMPUTED_VALUE"""),251.16)</f>
        <v>251.16</v>
      </c>
      <c r="D72" s="5">
        <f>IFERROR(__xludf.DUMMYFUNCTION("""COMPUTED_VALUE"""),241.5)</f>
        <v>241.5</v>
      </c>
      <c r="E72" s="5">
        <f>IFERROR(__xludf.DUMMYFUNCTION("""COMPUTED_VALUE"""),249.02)</f>
        <v>249.02</v>
      </c>
      <c r="F72" s="5">
        <f>IFERROR(__xludf.DUMMYFUNCTION("""COMPUTED_VALUE"""),9.398393E7)</f>
        <v>93983930</v>
      </c>
    </row>
    <row r="73">
      <c r="A73" s="7">
        <f>IFERROR(__xludf.DUMMYFUNCTION("""COMPUTED_VALUE"""),45568.66666666667)</f>
        <v>45568.66667</v>
      </c>
      <c r="B73" s="5">
        <f>IFERROR(__xludf.DUMMYFUNCTION("""COMPUTED_VALUE"""),244.48)</f>
        <v>244.48</v>
      </c>
      <c r="C73" s="5">
        <f>IFERROR(__xludf.DUMMYFUNCTION("""COMPUTED_VALUE"""),249.79)</f>
        <v>249.79</v>
      </c>
      <c r="D73" s="5">
        <f>IFERROR(__xludf.DUMMYFUNCTION("""COMPUTED_VALUE"""),237.81)</f>
        <v>237.81</v>
      </c>
      <c r="E73" s="5">
        <f>IFERROR(__xludf.DUMMYFUNCTION("""COMPUTED_VALUE"""),240.66)</f>
        <v>240.66</v>
      </c>
      <c r="F73" s="5">
        <f>IFERROR(__xludf.DUMMYFUNCTION("""COMPUTED_VALUE"""),8.072924E7)</f>
        <v>80729240</v>
      </c>
    </row>
    <row r="74">
      <c r="A74" s="7">
        <f>IFERROR(__xludf.DUMMYFUNCTION("""COMPUTED_VALUE"""),45569.66666666667)</f>
        <v>45569.66667</v>
      </c>
      <c r="B74" s="5">
        <f>IFERROR(__xludf.DUMMYFUNCTION("""COMPUTED_VALUE"""),246.69)</f>
        <v>246.69</v>
      </c>
      <c r="C74" s="5">
        <f>IFERROR(__xludf.DUMMYFUNCTION("""COMPUTED_VALUE"""),250.96)</f>
        <v>250.96</v>
      </c>
      <c r="D74" s="5">
        <f>IFERROR(__xludf.DUMMYFUNCTION("""COMPUTED_VALUE"""),244.58)</f>
        <v>244.58</v>
      </c>
      <c r="E74" s="5">
        <f>IFERROR(__xludf.DUMMYFUNCTION("""COMPUTED_VALUE"""),250.08)</f>
        <v>250.08</v>
      </c>
      <c r="F74" s="5">
        <f>IFERROR(__xludf.DUMMYFUNCTION("""COMPUTED_VALUE"""),8.6726285E7)</f>
        <v>86726285</v>
      </c>
    </row>
    <row r="75">
      <c r="A75" s="7">
        <f>IFERROR(__xludf.DUMMYFUNCTION("""COMPUTED_VALUE"""),45572.66666666667)</f>
        <v>45572.66667</v>
      </c>
      <c r="B75" s="5">
        <f>IFERROR(__xludf.DUMMYFUNCTION("""COMPUTED_VALUE"""),249.0)</f>
        <v>249</v>
      </c>
      <c r="C75" s="5">
        <f>IFERROR(__xludf.DUMMYFUNCTION("""COMPUTED_VALUE"""),249.83)</f>
        <v>249.83</v>
      </c>
      <c r="D75" s="5">
        <f>IFERROR(__xludf.DUMMYFUNCTION("""COMPUTED_VALUE"""),240.7)</f>
        <v>240.7</v>
      </c>
      <c r="E75" s="5">
        <f>IFERROR(__xludf.DUMMYFUNCTION("""COMPUTED_VALUE"""),240.83)</f>
        <v>240.83</v>
      </c>
      <c r="F75" s="5">
        <f>IFERROR(__xludf.DUMMYFUNCTION("""COMPUTED_VALUE"""),6.811327E7)</f>
        <v>68113270</v>
      </c>
    </row>
    <row r="76">
      <c r="A76" s="7">
        <f>IFERROR(__xludf.DUMMYFUNCTION("""COMPUTED_VALUE"""),45573.66666666667)</f>
        <v>45573.66667</v>
      </c>
      <c r="B76" s="5">
        <f>IFERROR(__xludf.DUMMYFUNCTION("""COMPUTED_VALUE"""),243.56)</f>
        <v>243.56</v>
      </c>
      <c r="C76" s="5">
        <f>IFERROR(__xludf.DUMMYFUNCTION("""COMPUTED_VALUE"""),246.21)</f>
        <v>246.21</v>
      </c>
      <c r="D76" s="5">
        <f>IFERROR(__xludf.DUMMYFUNCTION("""COMPUTED_VALUE"""),240.56)</f>
        <v>240.56</v>
      </c>
      <c r="E76" s="5">
        <f>IFERROR(__xludf.DUMMYFUNCTION("""COMPUTED_VALUE"""),244.5)</f>
        <v>244.5</v>
      </c>
      <c r="F76" s="5">
        <f>IFERROR(__xludf.DUMMYFUNCTION("""COMPUTED_VALUE"""),5.630316E7)</f>
        <v>56303160</v>
      </c>
    </row>
    <row r="77">
      <c r="A77" s="7">
        <f>IFERROR(__xludf.DUMMYFUNCTION("""COMPUTED_VALUE"""),45574.66666666667)</f>
        <v>45574.66667</v>
      </c>
      <c r="B77" s="5">
        <f>IFERROR(__xludf.DUMMYFUNCTION("""COMPUTED_VALUE"""),243.82)</f>
        <v>243.82</v>
      </c>
      <c r="C77" s="5">
        <f>IFERROR(__xludf.DUMMYFUNCTION("""COMPUTED_VALUE"""),247.43)</f>
        <v>247.43</v>
      </c>
      <c r="D77" s="5">
        <f>IFERROR(__xludf.DUMMYFUNCTION("""COMPUTED_VALUE"""),239.51)</f>
        <v>239.51</v>
      </c>
      <c r="E77" s="5">
        <f>IFERROR(__xludf.DUMMYFUNCTION("""COMPUTED_VALUE"""),241.05)</f>
        <v>241.05</v>
      </c>
      <c r="F77" s="5">
        <f>IFERROR(__xludf.DUMMYFUNCTION("""COMPUTED_VALUE"""),6.6289529E7)</f>
        <v>66289529</v>
      </c>
    </row>
    <row r="78">
      <c r="A78" s="7">
        <f>IFERROR(__xludf.DUMMYFUNCTION("""COMPUTED_VALUE"""),45575.66666666667)</f>
        <v>45575.66667</v>
      </c>
      <c r="B78" s="5">
        <f>IFERROR(__xludf.DUMMYFUNCTION("""COMPUTED_VALUE"""),241.81)</f>
        <v>241.81</v>
      </c>
      <c r="C78" s="5">
        <f>IFERROR(__xludf.DUMMYFUNCTION("""COMPUTED_VALUE"""),242.79)</f>
        <v>242.79</v>
      </c>
      <c r="D78" s="5">
        <f>IFERROR(__xludf.DUMMYFUNCTION("""COMPUTED_VALUE"""),232.34)</f>
        <v>232.34</v>
      </c>
      <c r="E78" s="5">
        <f>IFERROR(__xludf.DUMMYFUNCTION("""COMPUTED_VALUE"""),238.77)</f>
        <v>238.77</v>
      </c>
      <c r="F78" s="5">
        <f>IFERROR(__xludf.DUMMYFUNCTION("""COMPUTED_VALUE"""),8.3087063E7)</f>
        <v>83087063</v>
      </c>
    </row>
    <row r="79">
      <c r="A79" s="7">
        <f>IFERROR(__xludf.DUMMYFUNCTION("""COMPUTED_VALUE"""),45576.66666666667)</f>
        <v>45576.66667</v>
      </c>
      <c r="B79" s="5">
        <f>IFERROR(__xludf.DUMMYFUNCTION("""COMPUTED_VALUE"""),220.13)</f>
        <v>220.13</v>
      </c>
      <c r="C79" s="5">
        <f>IFERROR(__xludf.DUMMYFUNCTION("""COMPUTED_VALUE"""),223.34)</f>
        <v>223.34</v>
      </c>
      <c r="D79" s="5">
        <f>IFERROR(__xludf.DUMMYFUNCTION("""COMPUTED_VALUE"""),214.38)</f>
        <v>214.38</v>
      </c>
      <c r="E79" s="5">
        <f>IFERROR(__xludf.DUMMYFUNCTION("""COMPUTED_VALUE"""),217.8)</f>
        <v>217.8</v>
      </c>
      <c r="F79" s="5">
        <f>IFERROR(__xludf.DUMMYFUNCTION("""COMPUTED_VALUE"""),1.42628874E8)</f>
        <v>142628874</v>
      </c>
    </row>
    <row r="80">
      <c r="A80" s="7">
        <f>IFERROR(__xludf.DUMMYFUNCTION("""COMPUTED_VALUE"""),45579.66666666667)</f>
        <v>45579.66667</v>
      </c>
      <c r="B80" s="5">
        <f>IFERROR(__xludf.DUMMYFUNCTION("""COMPUTED_VALUE"""),220.13)</f>
        <v>220.13</v>
      </c>
      <c r="C80" s="5">
        <f>IFERROR(__xludf.DUMMYFUNCTION("""COMPUTED_VALUE"""),221.91)</f>
        <v>221.91</v>
      </c>
      <c r="D80" s="5">
        <f>IFERROR(__xludf.DUMMYFUNCTION("""COMPUTED_VALUE"""),213.74)</f>
        <v>213.74</v>
      </c>
      <c r="E80" s="5">
        <f>IFERROR(__xludf.DUMMYFUNCTION("""COMPUTED_VALUE"""),219.16)</f>
        <v>219.16</v>
      </c>
      <c r="F80" s="5">
        <f>IFERROR(__xludf.DUMMYFUNCTION("""COMPUTED_VALUE"""),8.6291923E7)</f>
        <v>86291923</v>
      </c>
    </row>
    <row r="81">
      <c r="A81" s="7">
        <f>IFERROR(__xludf.DUMMYFUNCTION("""COMPUTED_VALUE"""),45580.66666666667)</f>
        <v>45580.66667</v>
      </c>
      <c r="B81" s="5">
        <f>IFERROR(__xludf.DUMMYFUNCTION("""COMPUTED_VALUE"""),220.01)</f>
        <v>220.01</v>
      </c>
      <c r="C81" s="5">
        <f>IFERROR(__xludf.DUMMYFUNCTION("""COMPUTED_VALUE"""),224.26)</f>
        <v>224.26</v>
      </c>
      <c r="D81" s="5">
        <f>IFERROR(__xludf.DUMMYFUNCTION("""COMPUTED_VALUE"""),217.12)</f>
        <v>217.12</v>
      </c>
      <c r="E81" s="5">
        <f>IFERROR(__xludf.DUMMYFUNCTION("""COMPUTED_VALUE"""),219.57)</f>
        <v>219.57</v>
      </c>
      <c r="F81" s="5">
        <f>IFERROR(__xludf.DUMMYFUNCTION("""COMPUTED_VALUE"""),6.2988787E7)</f>
        <v>62988787</v>
      </c>
    </row>
    <row r="82">
      <c r="A82" s="7">
        <f>IFERROR(__xludf.DUMMYFUNCTION("""COMPUTED_VALUE"""),45581.66666666667)</f>
        <v>45581.66667</v>
      </c>
      <c r="B82" s="5">
        <f>IFERROR(__xludf.DUMMYFUNCTION("""COMPUTED_VALUE"""),221.4)</f>
        <v>221.4</v>
      </c>
      <c r="C82" s="5">
        <f>IFERROR(__xludf.DUMMYFUNCTION("""COMPUTED_VALUE"""),222.82)</f>
        <v>222.82</v>
      </c>
      <c r="D82" s="5">
        <f>IFERROR(__xludf.DUMMYFUNCTION("""COMPUTED_VALUE"""),218.93)</f>
        <v>218.93</v>
      </c>
      <c r="E82" s="5">
        <f>IFERROR(__xludf.DUMMYFUNCTION("""COMPUTED_VALUE"""),221.33)</f>
        <v>221.33</v>
      </c>
      <c r="F82" s="5">
        <f>IFERROR(__xludf.DUMMYFUNCTION("""COMPUTED_VALUE"""),4.9632824E7)</f>
        <v>49632824</v>
      </c>
    </row>
    <row r="83">
      <c r="A83" s="7">
        <f>IFERROR(__xludf.DUMMYFUNCTION("""COMPUTED_VALUE"""),45582.66666666667)</f>
        <v>45582.66667</v>
      </c>
      <c r="B83" s="5">
        <f>IFERROR(__xludf.DUMMYFUNCTION("""COMPUTED_VALUE"""),221.59)</f>
        <v>221.59</v>
      </c>
      <c r="C83" s="5">
        <f>IFERROR(__xludf.DUMMYFUNCTION("""COMPUTED_VALUE"""),222.08)</f>
        <v>222.08</v>
      </c>
      <c r="D83" s="5">
        <f>IFERROR(__xludf.DUMMYFUNCTION("""COMPUTED_VALUE"""),217.9)</f>
        <v>217.9</v>
      </c>
      <c r="E83" s="5">
        <f>IFERROR(__xludf.DUMMYFUNCTION("""COMPUTED_VALUE"""),220.89)</f>
        <v>220.89</v>
      </c>
      <c r="F83" s="5">
        <f>IFERROR(__xludf.DUMMYFUNCTION("""COMPUTED_VALUE"""),5.0791784E7)</f>
        <v>50791784</v>
      </c>
    </row>
    <row r="84">
      <c r="A84" s="7">
        <f>IFERROR(__xludf.DUMMYFUNCTION("""COMPUTED_VALUE"""),45583.66666666667)</f>
        <v>45583.66667</v>
      </c>
      <c r="B84" s="5">
        <f>IFERROR(__xludf.DUMMYFUNCTION("""COMPUTED_VALUE"""),220.71)</f>
        <v>220.71</v>
      </c>
      <c r="C84" s="5">
        <f>IFERROR(__xludf.DUMMYFUNCTION("""COMPUTED_VALUE"""),222.28)</f>
        <v>222.28</v>
      </c>
      <c r="D84" s="5">
        <f>IFERROR(__xludf.DUMMYFUNCTION("""COMPUTED_VALUE"""),219.23)</f>
        <v>219.23</v>
      </c>
      <c r="E84" s="5">
        <f>IFERROR(__xludf.DUMMYFUNCTION("""COMPUTED_VALUE"""),220.7)</f>
        <v>220.7</v>
      </c>
      <c r="F84" s="5">
        <f>IFERROR(__xludf.DUMMYFUNCTION("""COMPUTED_VALUE"""),4.9611867E7)</f>
        <v>49611867</v>
      </c>
    </row>
    <row r="85">
      <c r="A85" s="7">
        <f>IFERROR(__xludf.DUMMYFUNCTION("""COMPUTED_VALUE"""),45586.66666666667)</f>
        <v>45586.66667</v>
      </c>
      <c r="B85" s="5">
        <f>IFERROR(__xludf.DUMMYFUNCTION("""COMPUTED_VALUE"""),218.9)</f>
        <v>218.9</v>
      </c>
      <c r="C85" s="5">
        <f>IFERROR(__xludf.DUMMYFUNCTION("""COMPUTED_VALUE"""),220.48)</f>
        <v>220.48</v>
      </c>
      <c r="D85" s="5">
        <f>IFERROR(__xludf.DUMMYFUNCTION("""COMPUTED_VALUE"""),215.73)</f>
        <v>215.73</v>
      </c>
      <c r="E85" s="5">
        <f>IFERROR(__xludf.DUMMYFUNCTION("""COMPUTED_VALUE"""),218.85)</f>
        <v>218.85</v>
      </c>
      <c r="F85" s="5">
        <f>IFERROR(__xludf.DUMMYFUNCTION("""COMPUTED_VALUE"""),4.7328988E7)</f>
        <v>47328988</v>
      </c>
    </row>
    <row r="86">
      <c r="A86" s="7">
        <f>IFERROR(__xludf.DUMMYFUNCTION("""COMPUTED_VALUE"""),45587.66666666667)</f>
        <v>45587.66667</v>
      </c>
      <c r="B86" s="5">
        <f>IFERROR(__xludf.DUMMYFUNCTION("""COMPUTED_VALUE"""),217.31)</f>
        <v>217.31</v>
      </c>
      <c r="C86" s="5">
        <f>IFERROR(__xludf.DUMMYFUNCTION("""COMPUTED_VALUE"""),218.22)</f>
        <v>218.22</v>
      </c>
      <c r="D86" s="5">
        <f>IFERROR(__xludf.DUMMYFUNCTION("""COMPUTED_VALUE"""),215.26)</f>
        <v>215.26</v>
      </c>
      <c r="E86" s="5">
        <f>IFERROR(__xludf.DUMMYFUNCTION("""COMPUTED_VALUE"""),217.97)</f>
        <v>217.97</v>
      </c>
      <c r="F86" s="5">
        <f>IFERROR(__xludf.DUMMYFUNCTION("""COMPUTED_VALUE"""),4.3268741E7)</f>
        <v>43268741</v>
      </c>
    </row>
    <row r="87">
      <c r="A87" s="7">
        <f>IFERROR(__xludf.DUMMYFUNCTION("""COMPUTED_VALUE"""),45588.66666666667)</f>
        <v>45588.66667</v>
      </c>
      <c r="B87" s="5">
        <f>IFERROR(__xludf.DUMMYFUNCTION("""COMPUTED_VALUE"""),217.13)</f>
        <v>217.13</v>
      </c>
      <c r="C87" s="5">
        <f>IFERROR(__xludf.DUMMYFUNCTION("""COMPUTED_VALUE"""),218.72)</f>
        <v>218.72</v>
      </c>
      <c r="D87" s="5">
        <f>IFERROR(__xludf.DUMMYFUNCTION("""COMPUTED_VALUE"""),212.11)</f>
        <v>212.11</v>
      </c>
      <c r="E87" s="5">
        <f>IFERROR(__xludf.DUMMYFUNCTION("""COMPUTED_VALUE"""),213.65)</f>
        <v>213.65</v>
      </c>
      <c r="F87" s="5">
        <f>IFERROR(__xludf.DUMMYFUNCTION("""COMPUTED_VALUE"""),8.0938892E7)</f>
        <v>80938892</v>
      </c>
    </row>
    <row r="88">
      <c r="A88" s="7">
        <f>IFERROR(__xludf.DUMMYFUNCTION("""COMPUTED_VALUE"""),45589.66666666667)</f>
        <v>45589.66667</v>
      </c>
      <c r="B88" s="5">
        <f>IFERROR(__xludf.DUMMYFUNCTION("""COMPUTED_VALUE"""),244.68)</f>
        <v>244.68</v>
      </c>
      <c r="C88" s="5">
        <f>IFERROR(__xludf.DUMMYFUNCTION("""COMPUTED_VALUE"""),262.12)</f>
        <v>262.12</v>
      </c>
      <c r="D88" s="5">
        <f>IFERROR(__xludf.DUMMYFUNCTION("""COMPUTED_VALUE"""),242.65)</f>
        <v>242.65</v>
      </c>
      <c r="E88" s="5">
        <f>IFERROR(__xludf.DUMMYFUNCTION("""COMPUTED_VALUE"""),260.48)</f>
        <v>260.48</v>
      </c>
      <c r="F88" s="5">
        <f>IFERROR(__xludf.DUMMYFUNCTION("""COMPUTED_VALUE"""),2.04491903E8)</f>
        <v>204491903</v>
      </c>
    </row>
    <row r="89">
      <c r="A89" s="7">
        <f>IFERROR(__xludf.DUMMYFUNCTION("""COMPUTED_VALUE"""),45590.66666666667)</f>
        <v>45590.66667</v>
      </c>
      <c r="B89" s="5">
        <f>IFERROR(__xludf.DUMMYFUNCTION("""COMPUTED_VALUE"""),256.01)</f>
        <v>256.01</v>
      </c>
      <c r="C89" s="5">
        <f>IFERROR(__xludf.DUMMYFUNCTION("""COMPUTED_VALUE"""),269.49)</f>
        <v>269.49</v>
      </c>
      <c r="D89" s="5">
        <f>IFERROR(__xludf.DUMMYFUNCTION("""COMPUTED_VALUE"""),255.32)</f>
        <v>255.32</v>
      </c>
      <c r="E89" s="5">
        <f>IFERROR(__xludf.DUMMYFUNCTION("""COMPUTED_VALUE"""),269.19)</f>
        <v>269.19</v>
      </c>
      <c r="F89" s="5">
        <f>IFERROR(__xludf.DUMMYFUNCTION("""COMPUTED_VALUE"""),1.61611931E8)</f>
        <v>161611931</v>
      </c>
    </row>
    <row r="90">
      <c r="A90" s="7">
        <f>IFERROR(__xludf.DUMMYFUNCTION("""COMPUTED_VALUE"""),45593.66666666667)</f>
        <v>45593.66667</v>
      </c>
      <c r="B90" s="5">
        <f>IFERROR(__xludf.DUMMYFUNCTION("""COMPUTED_VALUE"""),270.0)</f>
        <v>270</v>
      </c>
      <c r="C90" s="5">
        <f>IFERROR(__xludf.DUMMYFUNCTION("""COMPUTED_VALUE"""),273.54)</f>
        <v>273.54</v>
      </c>
      <c r="D90" s="5">
        <f>IFERROR(__xludf.DUMMYFUNCTION("""COMPUTED_VALUE"""),262.24)</f>
        <v>262.24</v>
      </c>
      <c r="E90" s="5">
        <f>IFERROR(__xludf.DUMMYFUNCTION("""COMPUTED_VALUE"""),262.51)</f>
        <v>262.51</v>
      </c>
      <c r="F90" s="5">
        <f>IFERROR(__xludf.DUMMYFUNCTION("""COMPUTED_VALUE"""),1.07653603E8)</f>
        <v>107653603</v>
      </c>
    </row>
    <row r="91">
      <c r="A91" s="7">
        <f>IFERROR(__xludf.DUMMYFUNCTION("""COMPUTED_VALUE"""),45594.66666666667)</f>
        <v>45594.66667</v>
      </c>
      <c r="B91" s="5">
        <f>IFERROR(__xludf.DUMMYFUNCTION("""COMPUTED_VALUE"""),264.51)</f>
        <v>264.51</v>
      </c>
      <c r="C91" s="5">
        <f>IFERROR(__xludf.DUMMYFUNCTION("""COMPUTED_VALUE"""),264.98)</f>
        <v>264.98</v>
      </c>
      <c r="D91" s="5">
        <f>IFERROR(__xludf.DUMMYFUNCTION("""COMPUTED_VALUE"""),255.51)</f>
        <v>255.51</v>
      </c>
      <c r="E91" s="5">
        <f>IFERROR(__xludf.DUMMYFUNCTION("""COMPUTED_VALUE"""),259.52)</f>
        <v>259.52</v>
      </c>
      <c r="F91" s="5">
        <f>IFERROR(__xludf.DUMMYFUNCTION("""COMPUTED_VALUE"""),8.0521751E7)</f>
        <v>80521751</v>
      </c>
    </row>
    <row r="92">
      <c r="A92" s="7">
        <f>IFERROR(__xludf.DUMMYFUNCTION("""COMPUTED_VALUE"""),45595.66666666667)</f>
        <v>45595.66667</v>
      </c>
      <c r="B92" s="5">
        <f>IFERROR(__xludf.DUMMYFUNCTION("""COMPUTED_VALUE"""),258.04)</f>
        <v>258.04</v>
      </c>
      <c r="C92" s="5">
        <f>IFERROR(__xludf.DUMMYFUNCTION("""COMPUTED_VALUE"""),263.35)</f>
        <v>263.35</v>
      </c>
      <c r="D92" s="5">
        <f>IFERROR(__xludf.DUMMYFUNCTION("""COMPUTED_VALUE"""),255.82)</f>
        <v>255.82</v>
      </c>
      <c r="E92" s="5">
        <f>IFERROR(__xludf.DUMMYFUNCTION("""COMPUTED_VALUE"""),257.55)</f>
        <v>257.55</v>
      </c>
      <c r="F92" s="5">
        <f>IFERROR(__xludf.DUMMYFUNCTION("""COMPUTED_VALUE"""),5.3993576E7)</f>
        <v>53993576</v>
      </c>
    </row>
    <row r="93">
      <c r="A93" s="7">
        <f>IFERROR(__xludf.DUMMYFUNCTION("""COMPUTED_VALUE"""),45596.66666666667)</f>
        <v>45596.66667</v>
      </c>
      <c r="B93" s="5">
        <f>IFERROR(__xludf.DUMMYFUNCTION("""COMPUTED_VALUE"""),257.99)</f>
        <v>257.99</v>
      </c>
      <c r="C93" s="5">
        <f>IFERROR(__xludf.DUMMYFUNCTION("""COMPUTED_VALUE"""),259.75)</f>
        <v>259.75</v>
      </c>
      <c r="D93" s="5">
        <f>IFERROR(__xludf.DUMMYFUNCTION("""COMPUTED_VALUE"""),249.25)</f>
        <v>249.25</v>
      </c>
      <c r="E93" s="5">
        <f>IFERROR(__xludf.DUMMYFUNCTION("""COMPUTED_VALUE"""),249.85)</f>
        <v>249.85</v>
      </c>
      <c r="F93" s="5">
        <f>IFERROR(__xludf.DUMMYFUNCTION("""COMPUTED_VALUE"""),6.6575292E7)</f>
        <v>66575292</v>
      </c>
    </row>
    <row r="94">
      <c r="A94" s="7">
        <f>IFERROR(__xludf.DUMMYFUNCTION("""COMPUTED_VALUE"""),45597.66666666667)</f>
        <v>45597.66667</v>
      </c>
      <c r="B94" s="5">
        <f>IFERROR(__xludf.DUMMYFUNCTION("""COMPUTED_VALUE"""),252.04)</f>
        <v>252.04</v>
      </c>
      <c r="C94" s="5">
        <f>IFERROR(__xludf.DUMMYFUNCTION("""COMPUTED_VALUE"""),254.0)</f>
        <v>254</v>
      </c>
      <c r="D94" s="5">
        <f>IFERROR(__xludf.DUMMYFUNCTION("""COMPUTED_VALUE"""),246.63)</f>
        <v>246.63</v>
      </c>
      <c r="E94" s="5">
        <f>IFERROR(__xludf.DUMMYFUNCTION("""COMPUTED_VALUE"""),248.98)</f>
        <v>248.98</v>
      </c>
      <c r="F94" s="5">
        <f>IFERROR(__xludf.DUMMYFUNCTION("""COMPUTED_VALUE"""),5.7544757E7)</f>
        <v>57544757</v>
      </c>
    </row>
    <row r="95">
      <c r="A95" s="7">
        <f>IFERROR(__xludf.DUMMYFUNCTION("""COMPUTED_VALUE"""),45600.66666666667)</f>
        <v>45600.66667</v>
      </c>
      <c r="B95" s="5">
        <f>IFERROR(__xludf.DUMMYFUNCTION("""COMPUTED_VALUE"""),244.56)</f>
        <v>244.56</v>
      </c>
      <c r="C95" s="5">
        <f>IFERROR(__xludf.DUMMYFUNCTION("""COMPUTED_VALUE"""),248.9)</f>
        <v>248.9</v>
      </c>
      <c r="D95" s="5">
        <f>IFERROR(__xludf.DUMMYFUNCTION("""COMPUTED_VALUE"""),238.88)</f>
        <v>238.88</v>
      </c>
      <c r="E95" s="5">
        <f>IFERROR(__xludf.DUMMYFUNCTION("""COMPUTED_VALUE"""),242.84)</f>
        <v>242.84</v>
      </c>
      <c r="F95" s="5">
        <f>IFERROR(__xludf.DUMMYFUNCTION("""COMPUTED_VALUE"""),6.8802354E7)</f>
        <v>68802354</v>
      </c>
    </row>
    <row r="96">
      <c r="A96" s="7">
        <f>IFERROR(__xludf.DUMMYFUNCTION("""COMPUTED_VALUE"""),45601.66666666667)</f>
        <v>45601.66667</v>
      </c>
      <c r="B96" s="5">
        <f>IFERROR(__xludf.DUMMYFUNCTION("""COMPUTED_VALUE"""),247.34)</f>
        <v>247.34</v>
      </c>
      <c r="C96" s="5">
        <f>IFERROR(__xludf.DUMMYFUNCTION("""COMPUTED_VALUE"""),255.28)</f>
        <v>255.28</v>
      </c>
      <c r="D96" s="5">
        <f>IFERROR(__xludf.DUMMYFUNCTION("""COMPUTED_VALUE"""),246.21)</f>
        <v>246.21</v>
      </c>
      <c r="E96" s="5">
        <f>IFERROR(__xludf.DUMMYFUNCTION("""COMPUTED_VALUE"""),251.44)</f>
        <v>251.44</v>
      </c>
      <c r="F96" s="5">
        <f>IFERROR(__xludf.DUMMYFUNCTION("""COMPUTED_VALUE"""),6.9282505E7)</f>
        <v>69282505</v>
      </c>
    </row>
    <row r="97">
      <c r="A97" s="7">
        <f>IFERROR(__xludf.DUMMYFUNCTION("""COMPUTED_VALUE"""),45602.66666666667)</f>
        <v>45602.66667</v>
      </c>
      <c r="B97" s="5">
        <f>IFERROR(__xludf.DUMMYFUNCTION("""COMPUTED_VALUE"""),284.67)</f>
        <v>284.67</v>
      </c>
      <c r="C97" s="5">
        <f>IFERROR(__xludf.DUMMYFUNCTION("""COMPUTED_VALUE"""),289.59)</f>
        <v>289.59</v>
      </c>
      <c r="D97" s="5">
        <f>IFERROR(__xludf.DUMMYFUNCTION("""COMPUTED_VALUE"""),275.62)</f>
        <v>275.62</v>
      </c>
      <c r="E97" s="5">
        <f>IFERROR(__xludf.DUMMYFUNCTION("""COMPUTED_VALUE"""),288.53)</f>
        <v>288.53</v>
      </c>
      <c r="F97" s="5">
        <f>IFERROR(__xludf.DUMMYFUNCTION("""COMPUTED_VALUE"""),1.6522871E8)</f>
        <v>165228710</v>
      </c>
    </row>
    <row r="98">
      <c r="A98" s="7">
        <f>IFERROR(__xludf.DUMMYFUNCTION("""COMPUTED_VALUE"""),45603.66666666667)</f>
        <v>45603.66667</v>
      </c>
      <c r="B98" s="5">
        <f>IFERROR(__xludf.DUMMYFUNCTION("""COMPUTED_VALUE"""),288.89)</f>
        <v>288.89</v>
      </c>
      <c r="C98" s="5">
        <f>IFERROR(__xludf.DUMMYFUNCTION("""COMPUTED_VALUE"""),299.75)</f>
        <v>299.75</v>
      </c>
      <c r="D98" s="5">
        <f>IFERROR(__xludf.DUMMYFUNCTION("""COMPUTED_VALUE"""),285.52)</f>
        <v>285.52</v>
      </c>
      <c r="E98" s="5">
        <f>IFERROR(__xludf.DUMMYFUNCTION("""COMPUTED_VALUE"""),296.91)</f>
        <v>296.91</v>
      </c>
      <c r="F98" s="5">
        <f>IFERROR(__xludf.DUMMYFUNCTION("""COMPUTED_VALUE"""),1.17309232E8)</f>
        <v>117309232</v>
      </c>
    </row>
    <row r="99">
      <c r="A99" s="7">
        <f>IFERROR(__xludf.DUMMYFUNCTION("""COMPUTED_VALUE"""),45604.66666666667)</f>
        <v>45604.66667</v>
      </c>
      <c r="B99" s="5">
        <f>IFERROR(__xludf.DUMMYFUNCTION("""COMPUTED_VALUE"""),299.14)</f>
        <v>299.14</v>
      </c>
      <c r="C99" s="5">
        <f>IFERROR(__xludf.DUMMYFUNCTION("""COMPUTED_VALUE"""),328.71)</f>
        <v>328.71</v>
      </c>
      <c r="D99" s="5">
        <f>IFERROR(__xludf.DUMMYFUNCTION("""COMPUTED_VALUE"""),297.66)</f>
        <v>297.66</v>
      </c>
      <c r="E99" s="5">
        <f>IFERROR(__xludf.DUMMYFUNCTION("""COMPUTED_VALUE"""),321.22)</f>
        <v>321.22</v>
      </c>
      <c r="F99" s="5">
        <f>IFERROR(__xludf.DUMMYFUNCTION("""COMPUTED_VALUE"""),2.04782763E8)</f>
        <v>204782763</v>
      </c>
    </row>
    <row r="100">
      <c r="A100" s="7">
        <f>IFERROR(__xludf.DUMMYFUNCTION("""COMPUTED_VALUE"""),45607.66666666667)</f>
        <v>45607.66667</v>
      </c>
      <c r="B100" s="5">
        <f>IFERROR(__xludf.DUMMYFUNCTION("""COMPUTED_VALUE"""),346.3)</f>
        <v>346.3</v>
      </c>
      <c r="C100" s="5">
        <f>IFERROR(__xludf.DUMMYFUNCTION("""COMPUTED_VALUE"""),358.64)</f>
        <v>358.64</v>
      </c>
      <c r="D100" s="5">
        <f>IFERROR(__xludf.DUMMYFUNCTION("""COMPUTED_VALUE"""),336.0)</f>
        <v>336</v>
      </c>
      <c r="E100" s="5">
        <f>IFERROR(__xludf.DUMMYFUNCTION("""COMPUTED_VALUE"""),350.0)</f>
        <v>350</v>
      </c>
      <c r="F100" s="5">
        <f>IFERROR(__xludf.DUMMYFUNCTION("""COMPUTED_VALUE"""),2.10521625E8)</f>
        <v>210521625</v>
      </c>
    </row>
    <row r="101">
      <c r="A101" s="7">
        <f>IFERROR(__xludf.DUMMYFUNCTION("""COMPUTED_VALUE"""),45608.66666666667)</f>
        <v>45608.66667</v>
      </c>
      <c r="B101" s="5">
        <f>IFERROR(__xludf.DUMMYFUNCTION("""COMPUTED_VALUE"""),342.74)</f>
        <v>342.74</v>
      </c>
      <c r="C101" s="5">
        <f>IFERROR(__xludf.DUMMYFUNCTION("""COMPUTED_VALUE"""),345.84)</f>
        <v>345.84</v>
      </c>
      <c r="D101" s="5">
        <f>IFERROR(__xludf.DUMMYFUNCTION("""COMPUTED_VALUE"""),323.31)</f>
        <v>323.31</v>
      </c>
      <c r="E101" s="5">
        <f>IFERROR(__xludf.DUMMYFUNCTION("""COMPUTED_VALUE"""),328.49)</f>
        <v>328.49</v>
      </c>
      <c r="F101" s="5">
        <f>IFERROR(__xludf.DUMMYFUNCTION("""COMPUTED_VALUE"""),1.55726016E8)</f>
        <v>155726016</v>
      </c>
    </row>
    <row r="102">
      <c r="A102" s="7">
        <f>IFERROR(__xludf.DUMMYFUNCTION("""COMPUTED_VALUE"""),45609.66666666667)</f>
        <v>45609.66667</v>
      </c>
      <c r="B102" s="5">
        <f>IFERROR(__xludf.DUMMYFUNCTION("""COMPUTED_VALUE"""),335.85)</f>
        <v>335.85</v>
      </c>
      <c r="C102" s="5">
        <f>IFERROR(__xludf.DUMMYFUNCTION("""COMPUTED_VALUE"""),344.6)</f>
        <v>344.6</v>
      </c>
      <c r="D102" s="5">
        <f>IFERROR(__xludf.DUMMYFUNCTION("""COMPUTED_VALUE"""),322.5)</f>
        <v>322.5</v>
      </c>
      <c r="E102" s="5">
        <f>IFERROR(__xludf.DUMMYFUNCTION("""COMPUTED_VALUE"""),330.24)</f>
        <v>330.24</v>
      </c>
      <c r="F102" s="5">
        <f>IFERROR(__xludf.DUMMYFUNCTION("""COMPUTED_VALUE"""),1.25405599E8)</f>
        <v>125405599</v>
      </c>
    </row>
    <row r="103">
      <c r="A103" s="7">
        <f>IFERROR(__xludf.DUMMYFUNCTION("""COMPUTED_VALUE"""),45610.66666666667)</f>
        <v>45610.66667</v>
      </c>
      <c r="B103" s="5">
        <f>IFERROR(__xludf.DUMMYFUNCTION("""COMPUTED_VALUE"""),327.69)</f>
        <v>327.69</v>
      </c>
      <c r="C103" s="5">
        <f>IFERROR(__xludf.DUMMYFUNCTION("""COMPUTED_VALUE"""),329.98)</f>
        <v>329.98</v>
      </c>
      <c r="D103" s="5">
        <f>IFERROR(__xludf.DUMMYFUNCTION("""COMPUTED_VALUE"""),310.37)</f>
        <v>310.37</v>
      </c>
      <c r="E103" s="5">
        <f>IFERROR(__xludf.DUMMYFUNCTION("""COMPUTED_VALUE"""),311.18)</f>
        <v>311.18</v>
      </c>
      <c r="F103" s="5">
        <f>IFERROR(__xludf.DUMMYFUNCTION("""COMPUTED_VALUE"""),1.20726109E8)</f>
        <v>120726109</v>
      </c>
    </row>
    <row r="104">
      <c r="A104" s="7">
        <f>IFERROR(__xludf.DUMMYFUNCTION("""COMPUTED_VALUE"""),45611.66666666667)</f>
        <v>45611.66667</v>
      </c>
      <c r="B104" s="5">
        <f>IFERROR(__xludf.DUMMYFUNCTION("""COMPUTED_VALUE"""),310.57)</f>
        <v>310.57</v>
      </c>
      <c r="C104" s="5">
        <f>IFERROR(__xludf.DUMMYFUNCTION("""COMPUTED_VALUE"""),324.68)</f>
        <v>324.68</v>
      </c>
      <c r="D104" s="5">
        <f>IFERROR(__xludf.DUMMYFUNCTION("""COMPUTED_VALUE"""),309.22)</f>
        <v>309.22</v>
      </c>
      <c r="E104" s="5">
        <f>IFERROR(__xludf.DUMMYFUNCTION("""COMPUTED_VALUE"""),320.72)</f>
        <v>320.72</v>
      </c>
      <c r="F104" s="5">
        <f>IFERROR(__xludf.DUMMYFUNCTION("""COMPUTED_VALUE"""),1.14440286E8)</f>
        <v>114440286</v>
      </c>
    </row>
    <row r="105">
      <c r="A105" s="7">
        <f>IFERROR(__xludf.DUMMYFUNCTION("""COMPUTED_VALUE"""),45614.66666666667)</f>
        <v>45614.66667</v>
      </c>
      <c r="B105" s="5">
        <f>IFERROR(__xludf.DUMMYFUNCTION("""COMPUTED_VALUE"""),340.73)</f>
        <v>340.73</v>
      </c>
      <c r="C105" s="5">
        <f>IFERROR(__xludf.DUMMYFUNCTION("""COMPUTED_VALUE"""),348.55)</f>
        <v>348.55</v>
      </c>
      <c r="D105" s="5">
        <f>IFERROR(__xludf.DUMMYFUNCTION("""COMPUTED_VALUE"""),330.01)</f>
        <v>330.01</v>
      </c>
      <c r="E105" s="5">
        <f>IFERROR(__xludf.DUMMYFUNCTION("""COMPUTED_VALUE"""),338.74)</f>
        <v>338.74</v>
      </c>
      <c r="F105" s="5">
        <f>IFERROR(__xludf.DUMMYFUNCTION("""COMPUTED_VALUE"""),1.26547455E8)</f>
        <v>126547455</v>
      </c>
    </row>
    <row r="106">
      <c r="A106" s="7">
        <f>IFERROR(__xludf.DUMMYFUNCTION("""COMPUTED_VALUE"""),45615.66666666667)</f>
        <v>45615.66667</v>
      </c>
      <c r="B106" s="5">
        <f>IFERROR(__xludf.DUMMYFUNCTION("""COMPUTED_VALUE"""),335.76)</f>
        <v>335.76</v>
      </c>
      <c r="C106" s="5">
        <f>IFERROR(__xludf.DUMMYFUNCTION("""COMPUTED_VALUE"""),347.38)</f>
        <v>347.38</v>
      </c>
      <c r="D106" s="5">
        <f>IFERROR(__xludf.DUMMYFUNCTION("""COMPUTED_VALUE"""),332.75)</f>
        <v>332.75</v>
      </c>
      <c r="E106" s="5">
        <f>IFERROR(__xludf.DUMMYFUNCTION("""COMPUTED_VALUE"""),346.0)</f>
        <v>346</v>
      </c>
      <c r="F106" s="5">
        <f>IFERROR(__xludf.DUMMYFUNCTION("""COMPUTED_VALUE"""),8.8852452E7)</f>
        <v>88852452</v>
      </c>
    </row>
    <row r="107">
      <c r="A107" s="7">
        <f>IFERROR(__xludf.DUMMYFUNCTION("""COMPUTED_VALUE"""),45616.66666666667)</f>
        <v>45616.66667</v>
      </c>
      <c r="B107" s="5">
        <f>IFERROR(__xludf.DUMMYFUNCTION("""COMPUTED_VALUE"""),345.0)</f>
        <v>345</v>
      </c>
      <c r="C107" s="5">
        <f>IFERROR(__xludf.DUMMYFUNCTION("""COMPUTED_VALUE"""),346.6)</f>
        <v>346.6</v>
      </c>
      <c r="D107" s="5">
        <f>IFERROR(__xludf.DUMMYFUNCTION("""COMPUTED_VALUE"""),334.3)</f>
        <v>334.3</v>
      </c>
      <c r="E107" s="5">
        <f>IFERROR(__xludf.DUMMYFUNCTION("""COMPUTED_VALUE"""),342.03)</f>
        <v>342.03</v>
      </c>
      <c r="F107" s="5">
        <f>IFERROR(__xludf.DUMMYFUNCTION("""COMPUTED_VALUE"""),6.634065E7)</f>
        <v>66340650</v>
      </c>
    </row>
    <row r="108">
      <c r="A108" s="7">
        <f>IFERROR(__xludf.DUMMYFUNCTION("""COMPUTED_VALUE"""),45617.66666666667)</f>
        <v>45617.66667</v>
      </c>
      <c r="B108" s="5">
        <f>IFERROR(__xludf.DUMMYFUNCTION("""COMPUTED_VALUE"""),343.81)</f>
        <v>343.81</v>
      </c>
      <c r="C108" s="5">
        <f>IFERROR(__xludf.DUMMYFUNCTION("""COMPUTED_VALUE"""),347.99)</f>
        <v>347.99</v>
      </c>
      <c r="D108" s="5">
        <f>IFERROR(__xludf.DUMMYFUNCTION("""COMPUTED_VALUE"""),335.28)</f>
        <v>335.28</v>
      </c>
      <c r="E108" s="5">
        <f>IFERROR(__xludf.DUMMYFUNCTION("""COMPUTED_VALUE"""),339.64)</f>
        <v>339.64</v>
      </c>
      <c r="F108" s="5">
        <f>IFERROR(__xludf.DUMMYFUNCTION("""COMPUTED_VALUE"""),5.8011719E7)</f>
        <v>58011719</v>
      </c>
    </row>
    <row r="109">
      <c r="A109" s="7">
        <f>IFERROR(__xludf.DUMMYFUNCTION("""COMPUTED_VALUE"""),45618.66666666667)</f>
        <v>45618.66667</v>
      </c>
      <c r="B109" s="5">
        <f>IFERROR(__xludf.DUMMYFUNCTION("""COMPUTED_VALUE"""),341.09)</f>
        <v>341.09</v>
      </c>
      <c r="C109" s="5">
        <f>IFERROR(__xludf.DUMMYFUNCTION("""COMPUTED_VALUE"""),361.53)</f>
        <v>361.53</v>
      </c>
      <c r="D109" s="5">
        <f>IFERROR(__xludf.DUMMYFUNCTION("""COMPUTED_VALUE"""),337.7)</f>
        <v>337.7</v>
      </c>
      <c r="E109" s="5">
        <f>IFERROR(__xludf.DUMMYFUNCTION("""COMPUTED_VALUE"""),352.56)</f>
        <v>352.56</v>
      </c>
      <c r="F109" s="5">
        <f>IFERROR(__xludf.DUMMYFUNCTION("""COMPUTED_VALUE"""),8.9140722E7)</f>
        <v>89140722</v>
      </c>
    </row>
    <row r="110">
      <c r="A110" s="7">
        <f>IFERROR(__xludf.DUMMYFUNCTION("""COMPUTED_VALUE"""),45621.66666666667)</f>
        <v>45621.66667</v>
      </c>
      <c r="B110" s="5">
        <f>IFERROR(__xludf.DUMMYFUNCTION("""COMPUTED_VALUE"""),360.14)</f>
        <v>360.14</v>
      </c>
      <c r="C110" s="5">
        <f>IFERROR(__xludf.DUMMYFUNCTION("""COMPUTED_VALUE"""),361.93)</f>
        <v>361.93</v>
      </c>
      <c r="D110" s="5">
        <f>IFERROR(__xludf.DUMMYFUNCTION("""COMPUTED_VALUE"""),338.2)</f>
        <v>338.2</v>
      </c>
      <c r="E110" s="5">
        <f>IFERROR(__xludf.DUMMYFUNCTION("""COMPUTED_VALUE"""),338.59)</f>
        <v>338.59</v>
      </c>
      <c r="F110" s="5">
        <f>IFERROR(__xludf.DUMMYFUNCTION("""COMPUTED_VALUE"""),9.5890899E7)</f>
        <v>95890899</v>
      </c>
    </row>
    <row r="111">
      <c r="A111" s="7">
        <f>IFERROR(__xludf.DUMMYFUNCTION("""COMPUTED_VALUE"""),45622.66666666667)</f>
        <v>45622.66667</v>
      </c>
      <c r="B111" s="5">
        <f>IFERROR(__xludf.DUMMYFUNCTION("""COMPUTED_VALUE"""),341.0)</f>
        <v>341</v>
      </c>
      <c r="C111" s="5">
        <f>IFERROR(__xludf.DUMMYFUNCTION("""COMPUTED_VALUE"""),346.96)</f>
        <v>346.96</v>
      </c>
      <c r="D111" s="5">
        <f>IFERROR(__xludf.DUMMYFUNCTION("""COMPUTED_VALUE"""),335.66)</f>
        <v>335.66</v>
      </c>
      <c r="E111" s="5">
        <f>IFERROR(__xludf.DUMMYFUNCTION("""COMPUTED_VALUE"""),338.23)</f>
        <v>338.23</v>
      </c>
      <c r="F111" s="5">
        <f>IFERROR(__xludf.DUMMYFUNCTION("""COMPUTED_VALUE"""),6.2295857E7)</f>
        <v>62295857</v>
      </c>
    </row>
    <row r="112">
      <c r="A112" s="7">
        <f>IFERROR(__xludf.DUMMYFUNCTION("""COMPUTED_VALUE"""),45623.66666666667)</f>
        <v>45623.66667</v>
      </c>
      <c r="B112" s="5">
        <f>IFERROR(__xludf.DUMMYFUNCTION("""COMPUTED_VALUE"""),341.8)</f>
        <v>341.8</v>
      </c>
      <c r="C112" s="5">
        <f>IFERROR(__xludf.DUMMYFUNCTION("""COMPUTED_VALUE"""),342.55)</f>
        <v>342.55</v>
      </c>
      <c r="D112" s="5">
        <f>IFERROR(__xludf.DUMMYFUNCTION("""COMPUTED_VALUE"""),326.59)</f>
        <v>326.59</v>
      </c>
      <c r="E112" s="5">
        <f>IFERROR(__xludf.DUMMYFUNCTION("""COMPUTED_VALUE"""),332.89)</f>
        <v>332.89</v>
      </c>
      <c r="F112" s="5">
        <f>IFERROR(__xludf.DUMMYFUNCTION("""COMPUTED_VALUE"""),5.7896439E7)</f>
        <v>57896439</v>
      </c>
    </row>
    <row r="113">
      <c r="A113" s="7">
        <f>IFERROR(__xludf.DUMMYFUNCTION("""COMPUTED_VALUE"""),45625.54513888889)</f>
        <v>45625.54514</v>
      </c>
      <c r="B113" s="5">
        <f>IFERROR(__xludf.DUMMYFUNCTION("""COMPUTED_VALUE"""),336.08)</f>
        <v>336.08</v>
      </c>
      <c r="C113" s="5">
        <f>IFERROR(__xludf.DUMMYFUNCTION("""COMPUTED_VALUE"""),345.45)</f>
        <v>345.45</v>
      </c>
      <c r="D113" s="5">
        <f>IFERROR(__xludf.DUMMYFUNCTION("""COMPUTED_VALUE"""),334.65)</f>
        <v>334.65</v>
      </c>
      <c r="E113" s="5">
        <f>IFERROR(__xludf.DUMMYFUNCTION("""COMPUTED_VALUE"""),345.16)</f>
        <v>345.16</v>
      </c>
      <c r="F113" s="5">
        <f>IFERROR(__xludf.DUMMYFUNCTION("""COMPUTED_VALUE"""),3.7167621E7)</f>
        <v>37167621</v>
      </c>
    </row>
    <row r="114">
      <c r="A114" s="7">
        <f>IFERROR(__xludf.DUMMYFUNCTION("""COMPUTED_VALUE"""),45628.66666666667)</f>
        <v>45628.66667</v>
      </c>
      <c r="B114" s="5">
        <f>IFERROR(__xludf.DUMMYFUNCTION("""COMPUTED_VALUE"""),352.38)</f>
        <v>352.38</v>
      </c>
      <c r="C114" s="5">
        <f>IFERROR(__xludf.DUMMYFUNCTION("""COMPUTED_VALUE"""),360.0)</f>
        <v>360</v>
      </c>
      <c r="D114" s="5">
        <f>IFERROR(__xludf.DUMMYFUNCTION("""COMPUTED_VALUE"""),351.15)</f>
        <v>351.15</v>
      </c>
      <c r="E114" s="5">
        <f>IFERROR(__xludf.DUMMYFUNCTION("""COMPUTED_VALUE"""),357.09)</f>
        <v>357.09</v>
      </c>
      <c r="F114" s="5">
        <f>IFERROR(__xludf.DUMMYFUNCTION("""COMPUTED_VALUE"""),7.7986478E7)</f>
        <v>77986478</v>
      </c>
    </row>
    <row r="115">
      <c r="A115" s="7">
        <f>IFERROR(__xludf.DUMMYFUNCTION("""COMPUTED_VALUE"""),45629.66666666667)</f>
        <v>45629.66667</v>
      </c>
      <c r="B115" s="5">
        <f>IFERROR(__xludf.DUMMYFUNCTION("""COMPUTED_VALUE"""),351.8)</f>
        <v>351.8</v>
      </c>
      <c r="C115" s="5">
        <f>IFERROR(__xludf.DUMMYFUNCTION("""COMPUTED_VALUE"""),355.69)</f>
        <v>355.69</v>
      </c>
      <c r="D115" s="5">
        <f>IFERROR(__xludf.DUMMYFUNCTION("""COMPUTED_VALUE"""),348.2)</f>
        <v>348.2</v>
      </c>
      <c r="E115" s="5">
        <f>IFERROR(__xludf.DUMMYFUNCTION("""COMPUTED_VALUE"""),351.42)</f>
        <v>351.42</v>
      </c>
      <c r="F115" s="5">
        <f>IFERROR(__xludf.DUMMYFUNCTION("""COMPUTED_VALUE"""),5.8267196E7)</f>
        <v>58267196</v>
      </c>
    </row>
    <row r="116">
      <c r="A116" s="7">
        <f>IFERROR(__xludf.DUMMYFUNCTION("""COMPUTED_VALUE"""),45630.66666666667)</f>
        <v>45630.66667</v>
      </c>
      <c r="B116" s="5">
        <f>IFERROR(__xludf.DUMMYFUNCTION("""COMPUTED_VALUE"""),353.0)</f>
        <v>353</v>
      </c>
      <c r="C116" s="5">
        <f>IFERROR(__xludf.DUMMYFUNCTION("""COMPUTED_VALUE"""),358.1)</f>
        <v>358.1</v>
      </c>
      <c r="D116" s="5">
        <f>IFERROR(__xludf.DUMMYFUNCTION("""COMPUTED_VALUE"""),348.6)</f>
        <v>348.6</v>
      </c>
      <c r="E116" s="5">
        <f>IFERROR(__xludf.DUMMYFUNCTION("""COMPUTED_VALUE"""),357.93)</f>
        <v>357.93</v>
      </c>
      <c r="F116" s="5">
        <f>IFERROR(__xludf.DUMMYFUNCTION("""COMPUTED_VALUE"""),5.0810874E7)</f>
        <v>50810874</v>
      </c>
    </row>
    <row r="117">
      <c r="A117" s="7">
        <f>IFERROR(__xludf.DUMMYFUNCTION("""COMPUTED_VALUE"""),45631.66666666667)</f>
        <v>45631.66667</v>
      </c>
      <c r="B117" s="5">
        <f>IFERROR(__xludf.DUMMYFUNCTION("""COMPUTED_VALUE"""),359.87)</f>
        <v>359.87</v>
      </c>
      <c r="C117" s="5">
        <f>IFERROR(__xludf.DUMMYFUNCTION("""COMPUTED_VALUE"""),375.43)</f>
        <v>375.43</v>
      </c>
      <c r="D117" s="5">
        <f>IFERROR(__xludf.DUMMYFUNCTION("""COMPUTED_VALUE"""),359.5)</f>
        <v>359.5</v>
      </c>
      <c r="E117" s="5">
        <f>IFERROR(__xludf.DUMMYFUNCTION("""COMPUTED_VALUE"""),369.49)</f>
        <v>369.49</v>
      </c>
      <c r="F117" s="5">
        <f>IFERROR(__xludf.DUMMYFUNCTION("""COMPUTED_VALUE"""),8.1403569E7)</f>
        <v>81403569</v>
      </c>
    </row>
    <row r="118">
      <c r="A118" s="7">
        <f>IFERROR(__xludf.DUMMYFUNCTION("""COMPUTED_VALUE"""),45632.66666666667)</f>
        <v>45632.66667</v>
      </c>
      <c r="B118" s="5">
        <f>IFERROR(__xludf.DUMMYFUNCTION("""COMPUTED_VALUE"""),377.42)</f>
        <v>377.42</v>
      </c>
      <c r="C118" s="5">
        <f>IFERROR(__xludf.DUMMYFUNCTION("""COMPUTED_VALUE"""),389.49)</f>
        <v>389.49</v>
      </c>
      <c r="D118" s="5">
        <f>IFERROR(__xludf.DUMMYFUNCTION("""COMPUTED_VALUE"""),370.8)</f>
        <v>370.8</v>
      </c>
      <c r="E118" s="5">
        <f>IFERROR(__xludf.DUMMYFUNCTION("""COMPUTED_VALUE"""),389.22)</f>
        <v>389.22</v>
      </c>
      <c r="F118" s="5">
        <f>IFERROR(__xludf.DUMMYFUNCTION("""COMPUTED_VALUE"""),8.1455834E7)</f>
        <v>81455834</v>
      </c>
    </row>
    <row r="119">
      <c r="A119" s="7">
        <f>IFERROR(__xludf.DUMMYFUNCTION("""COMPUTED_VALUE"""),45635.66666666667)</f>
        <v>45635.66667</v>
      </c>
      <c r="B119" s="5">
        <f>IFERROR(__xludf.DUMMYFUNCTION("""COMPUTED_VALUE"""),397.61)</f>
        <v>397.61</v>
      </c>
      <c r="C119" s="5">
        <f>IFERROR(__xludf.DUMMYFUNCTION("""COMPUTED_VALUE"""),404.8)</f>
        <v>404.8</v>
      </c>
      <c r="D119" s="5">
        <f>IFERROR(__xludf.DUMMYFUNCTION("""COMPUTED_VALUE"""),378.01)</f>
        <v>378.01</v>
      </c>
      <c r="E119" s="5">
        <f>IFERROR(__xludf.DUMMYFUNCTION("""COMPUTED_VALUE"""),389.79)</f>
        <v>389.79</v>
      </c>
      <c r="F119" s="5">
        <f>IFERROR(__xludf.DUMMYFUNCTION("""COMPUTED_VALUE"""),9.6359173E7)</f>
        <v>96359173</v>
      </c>
    </row>
    <row r="120">
      <c r="A120" s="7">
        <f>IFERROR(__xludf.DUMMYFUNCTION("""COMPUTED_VALUE"""),45636.66666666667)</f>
        <v>45636.66667</v>
      </c>
      <c r="B120" s="5">
        <f>IFERROR(__xludf.DUMMYFUNCTION("""COMPUTED_VALUE"""),392.68)</f>
        <v>392.68</v>
      </c>
      <c r="C120" s="5">
        <f>IFERROR(__xludf.DUMMYFUNCTION("""COMPUTED_VALUE"""),409.73)</f>
        <v>409.73</v>
      </c>
      <c r="D120" s="5">
        <f>IFERROR(__xludf.DUMMYFUNCTION("""COMPUTED_VALUE"""),390.85)</f>
        <v>390.85</v>
      </c>
      <c r="E120" s="5">
        <f>IFERROR(__xludf.DUMMYFUNCTION("""COMPUTED_VALUE"""),400.99)</f>
        <v>400.99</v>
      </c>
      <c r="F120" s="5">
        <f>IFERROR(__xludf.DUMMYFUNCTION("""COMPUTED_VALUE"""),9.7563578E7)</f>
        <v>97563578</v>
      </c>
    </row>
    <row r="121">
      <c r="A121" s="7">
        <f>IFERROR(__xludf.DUMMYFUNCTION("""COMPUTED_VALUE"""),45637.66666666667)</f>
        <v>45637.66667</v>
      </c>
      <c r="B121" s="5">
        <f>IFERROR(__xludf.DUMMYFUNCTION("""COMPUTED_VALUE"""),409.7)</f>
        <v>409.7</v>
      </c>
      <c r="C121" s="5">
        <f>IFERROR(__xludf.DUMMYFUNCTION("""COMPUTED_VALUE"""),424.88)</f>
        <v>424.88</v>
      </c>
      <c r="D121" s="5">
        <f>IFERROR(__xludf.DUMMYFUNCTION("""COMPUTED_VALUE"""),402.38)</f>
        <v>402.38</v>
      </c>
      <c r="E121" s="5">
        <f>IFERROR(__xludf.DUMMYFUNCTION("""COMPUTED_VALUE"""),424.77)</f>
        <v>424.77</v>
      </c>
      <c r="F121" s="5">
        <f>IFERROR(__xludf.DUMMYFUNCTION("""COMPUTED_VALUE"""),1.04287559E8)</f>
        <v>104287559</v>
      </c>
    </row>
    <row r="122">
      <c r="A122" s="7">
        <f>IFERROR(__xludf.DUMMYFUNCTION("""COMPUTED_VALUE"""),45638.66666666667)</f>
        <v>45638.66667</v>
      </c>
      <c r="B122" s="5">
        <f>IFERROR(__xludf.DUMMYFUNCTION("""COMPUTED_VALUE"""),424.84)</f>
        <v>424.84</v>
      </c>
      <c r="C122" s="5">
        <f>IFERROR(__xludf.DUMMYFUNCTION("""COMPUTED_VALUE"""),429.3)</f>
        <v>429.3</v>
      </c>
      <c r="D122" s="5">
        <f>IFERROR(__xludf.DUMMYFUNCTION("""COMPUTED_VALUE"""),415.0)</f>
        <v>415</v>
      </c>
      <c r="E122" s="5">
        <f>IFERROR(__xludf.DUMMYFUNCTION("""COMPUTED_VALUE"""),418.1)</f>
        <v>418.1</v>
      </c>
      <c r="F122" s="5">
        <f>IFERROR(__xludf.DUMMYFUNCTION("""COMPUTED_VALUE"""),8.7752225E7)</f>
        <v>87752225</v>
      </c>
    </row>
    <row r="123">
      <c r="A123" s="7">
        <f>IFERROR(__xludf.DUMMYFUNCTION("""COMPUTED_VALUE"""),45639.66666666667)</f>
        <v>45639.66667</v>
      </c>
      <c r="B123" s="5">
        <f>IFERROR(__xludf.DUMMYFUNCTION("""COMPUTED_VALUE"""),420.0)</f>
        <v>420</v>
      </c>
      <c r="C123" s="5">
        <f>IFERROR(__xludf.DUMMYFUNCTION("""COMPUTED_VALUE"""),436.3)</f>
        <v>436.3</v>
      </c>
      <c r="D123" s="5">
        <f>IFERROR(__xludf.DUMMYFUNCTION("""COMPUTED_VALUE"""),415.71)</f>
        <v>415.71</v>
      </c>
      <c r="E123" s="5">
        <f>IFERROR(__xludf.DUMMYFUNCTION("""COMPUTED_VALUE"""),436.23)</f>
        <v>436.23</v>
      </c>
      <c r="F123" s="5">
        <f>IFERROR(__xludf.DUMMYFUNCTION("""COMPUTED_VALUE"""),8.9000158E7)</f>
        <v>89000158</v>
      </c>
    </row>
    <row r="124">
      <c r="A124" s="7">
        <f>IFERROR(__xludf.DUMMYFUNCTION("""COMPUTED_VALUE"""),45642.66666666667)</f>
        <v>45642.66667</v>
      </c>
      <c r="B124" s="5">
        <f>IFERROR(__xludf.DUMMYFUNCTION("""COMPUTED_VALUE"""),441.09)</f>
        <v>441.09</v>
      </c>
      <c r="C124" s="5">
        <f>IFERROR(__xludf.DUMMYFUNCTION("""COMPUTED_VALUE"""),463.19)</f>
        <v>463.19</v>
      </c>
      <c r="D124" s="5">
        <f>IFERROR(__xludf.DUMMYFUNCTION("""COMPUTED_VALUE"""),436.15)</f>
        <v>436.15</v>
      </c>
      <c r="E124" s="5">
        <f>IFERROR(__xludf.DUMMYFUNCTION("""COMPUTED_VALUE"""),463.02)</f>
        <v>463.02</v>
      </c>
      <c r="F124" s="5">
        <f>IFERROR(__xludf.DUMMYFUNCTION("""COMPUTED_VALUE"""),1.14083811E8)</f>
        <v>114083811</v>
      </c>
    </row>
    <row r="125">
      <c r="A125" s="7">
        <f>IFERROR(__xludf.DUMMYFUNCTION("""COMPUTED_VALUE"""),45643.66666666667)</f>
        <v>45643.66667</v>
      </c>
      <c r="B125" s="5">
        <f>IFERROR(__xludf.DUMMYFUNCTION("""COMPUTED_VALUE"""),475.9)</f>
        <v>475.9</v>
      </c>
      <c r="C125" s="5">
        <f>IFERROR(__xludf.DUMMYFUNCTION("""COMPUTED_VALUE"""),483.99)</f>
        <v>483.99</v>
      </c>
      <c r="D125" s="5">
        <f>IFERROR(__xludf.DUMMYFUNCTION("""COMPUTED_VALUE"""),457.51)</f>
        <v>457.51</v>
      </c>
      <c r="E125" s="5">
        <f>IFERROR(__xludf.DUMMYFUNCTION("""COMPUTED_VALUE"""),479.86)</f>
        <v>479.86</v>
      </c>
      <c r="F125" s="5">
        <f>IFERROR(__xludf.DUMMYFUNCTION("""COMPUTED_VALUE"""),1.31222978E8)</f>
        <v>131222978</v>
      </c>
    </row>
    <row r="126">
      <c r="A126" s="7">
        <f>IFERROR(__xludf.DUMMYFUNCTION("""COMPUTED_VALUE"""),45644.66666666667)</f>
        <v>45644.66667</v>
      </c>
      <c r="B126" s="5">
        <f>IFERROR(__xludf.DUMMYFUNCTION("""COMPUTED_VALUE"""),466.5)</f>
        <v>466.5</v>
      </c>
      <c r="C126" s="5">
        <f>IFERROR(__xludf.DUMMYFUNCTION("""COMPUTED_VALUE"""),488.54)</f>
        <v>488.54</v>
      </c>
      <c r="D126" s="5">
        <f>IFERROR(__xludf.DUMMYFUNCTION("""COMPUTED_VALUE"""),427.01)</f>
        <v>427.01</v>
      </c>
      <c r="E126" s="5">
        <f>IFERROR(__xludf.DUMMYFUNCTION("""COMPUTED_VALUE"""),440.13)</f>
        <v>440.13</v>
      </c>
      <c r="F126" s="5">
        <f>IFERROR(__xludf.DUMMYFUNCTION("""COMPUTED_VALUE"""),1.49340788E8)</f>
        <v>149340788</v>
      </c>
    </row>
    <row r="127">
      <c r="A127" s="7">
        <f>IFERROR(__xludf.DUMMYFUNCTION("""COMPUTED_VALUE"""),45645.66666666667)</f>
        <v>45645.66667</v>
      </c>
      <c r="B127" s="5">
        <f>IFERROR(__xludf.DUMMYFUNCTION("""COMPUTED_VALUE"""),451.88)</f>
        <v>451.88</v>
      </c>
      <c r="C127" s="5">
        <f>IFERROR(__xludf.DUMMYFUNCTION("""COMPUTED_VALUE"""),456.36)</f>
        <v>456.36</v>
      </c>
      <c r="D127" s="5">
        <f>IFERROR(__xludf.DUMMYFUNCTION("""COMPUTED_VALUE"""),420.02)</f>
        <v>420.02</v>
      </c>
      <c r="E127" s="5">
        <f>IFERROR(__xludf.DUMMYFUNCTION("""COMPUTED_VALUE"""),436.17)</f>
        <v>436.17</v>
      </c>
      <c r="F127" s="5">
        <f>IFERROR(__xludf.DUMMYFUNCTION("""COMPUTED_VALUE"""),1.18566146E8)</f>
        <v>118566146</v>
      </c>
    </row>
    <row r="128">
      <c r="A128" s="7">
        <f>IFERROR(__xludf.DUMMYFUNCTION("""COMPUTED_VALUE"""),45646.66666666667)</f>
        <v>45646.66667</v>
      </c>
      <c r="B128" s="5">
        <f>IFERROR(__xludf.DUMMYFUNCTION("""COMPUTED_VALUE"""),425.51)</f>
        <v>425.51</v>
      </c>
      <c r="C128" s="5">
        <f>IFERROR(__xludf.DUMMYFUNCTION("""COMPUTED_VALUE"""),447.08)</f>
        <v>447.08</v>
      </c>
      <c r="D128" s="5">
        <f>IFERROR(__xludf.DUMMYFUNCTION("""COMPUTED_VALUE"""),417.64)</f>
        <v>417.64</v>
      </c>
      <c r="E128" s="5">
        <f>IFERROR(__xludf.DUMMYFUNCTION("""COMPUTED_VALUE"""),421.06)</f>
        <v>421.06</v>
      </c>
      <c r="F128" s="5">
        <f>IFERROR(__xludf.DUMMYFUNCTION("""COMPUTED_VALUE"""),1.32216176E8)</f>
        <v>132216176</v>
      </c>
    </row>
    <row r="129">
      <c r="A129" s="7">
        <f>IFERROR(__xludf.DUMMYFUNCTION("""COMPUTED_VALUE"""),45649.66666666667)</f>
        <v>45649.66667</v>
      </c>
      <c r="B129" s="5">
        <f>IFERROR(__xludf.DUMMYFUNCTION("""COMPUTED_VALUE"""),431.0)</f>
        <v>431</v>
      </c>
      <c r="C129" s="5">
        <f>IFERROR(__xludf.DUMMYFUNCTION("""COMPUTED_VALUE"""),434.51)</f>
        <v>434.51</v>
      </c>
      <c r="D129" s="5">
        <f>IFERROR(__xludf.DUMMYFUNCTION("""COMPUTED_VALUE"""),415.41)</f>
        <v>415.41</v>
      </c>
      <c r="E129" s="5">
        <f>IFERROR(__xludf.DUMMYFUNCTION("""COMPUTED_VALUE"""),430.6)</f>
        <v>430.6</v>
      </c>
      <c r="F129" s="5">
        <f>IFERROR(__xludf.DUMMYFUNCTION("""COMPUTED_VALUE"""),7.2698055E7)</f>
        <v>72698055</v>
      </c>
    </row>
    <row r="130">
      <c r="A130" s="7">
        <f>IFERROR(__xludf.DUMMYFUNCTION("""COMPUTED_VALUE"""),45650.54513888889)</f>
        <v>45650.54514</v>
      </c>
      <c r="B130" s="5">
        <f>IFERROR(__xludf.DUMMYFUNCTION("""COMPUTED_VALUE"""),435.9)</f>
        <v>435.9</v>
      </c>
      <c r="C130" s="5">
        <f>IFERROR(__xludf.DUMMYFUNCTION("""COMPUTED_VALUE"""),462.78)</f>
        <v>462.78</v>
      </c>
      <c r="D130" s="5">
        <f>IFERROR(__xludf.DUMMYFUNCTION("""COMPUTED_VALUE"""),435.14)</f>
        <v>435.14</v>
      </c>
      <c r="E130" s="5">
        <f>IFERROR(__xludf.DUMMYFUNCTION("""COMPUTED_VALUE"""),462.28)</f>
        <v>462.28</v>
      </c>
      <c r="F130" s="5">
        <f>IFERROR(__xludf.DUMMYFUNCTION("""COMPUTED_VALUE"""),5.955175E7)</f>
        <v>59551750</v>
      </c>
    </row>
    <row r="131">
      <c r="A131" s="7">
        <f>IFERROR(__xludf.DUMMYFUNCTION("""COMPUTED_VALUE"""),45652.66666666667)</f>
        <v>45652.66667</v>
      </c>
      <c r="B131" s="5">
        <f>IFERROR(__xludf.DUMMYFUNCTION("""COMPUTED_VALUE"""),465.16)</f>
        <v>465.16</v>
      </c>
      <c r="C131" s="5">
        <f>IFERROR(__xludf.DUMMYFUNCTION("""COMPUTED_VALUE"""),465.33)</f>
        <v>465.33</v>
      </c>
      <c r="D131" s="5">
        <f>IFERROR(__xludf.DUMMYFUNCTION("""COMPUTED_VALUE"""),451.02)</f>
        <v>451.02</v>
      </c>
      <c r="E131" s="5">
        <f>IFERROR(__xludf.DUMMYFUNCTION("""COMPUTED_VALUE"""),454.13)</f>
        <v>454.13</v>
      </c>
      <c r="F131" s="5">
        <f>IFERROR(__xludf.DUMMYFUNCTION("""COMPUTED_VALUE"""),7.665121E7)</f>
        <v>76651210</v>
      </c>
    </row>
    <row r="132">
      <c r="A132" s="7">
        <f>IFERROR(__xludf.DUMMYFUNCTION("""COMPUTED_VALUE"""),45653.66666666667)</f>
        <v>45653.66667</v>
      </c>
      <c r="B132" s="5">
        <f>IFERROR(__xludf.DUMMYFUNCTION("""COMPUTED_VALUE"""),449.52)</f>
        <v>449.52</v>
      </c>
      <c r="C132" s="5">
        <f>IFERROR(__xludf.DUMMYFUNCTION("""COMPUTED_VALUE"""),450.0)</f>
        <v>450</v>
      </c>
      <c r="D132" s="5">
        <f>IFERROR(__xludf.DUMMYFUNCTION("""COMPUTED_VALUE"""),426.5)</f>
        <v>426.5</v>
      </c>
      <c r="E132" s="5">
        <f>IFERROR(__xludf.DUMMYFUNCTION("""COMPUTED_VALUE"""),431.66)</f>
        <v>431.66</v>
      </c>
      <c r="F132" s="5">
        <f>IFERROR(__xludf.DUMMYFUNCTION("""COMPUTED_VALUE"""),8.2666821E7)</f>
        <v>82666821</v>
      </c>
    </row>
    <row r="133">
      <c r="A133" s="7">
        <f>IFERROR(__xludf.DUMMYFUNCTION("""COMPUTED_VALUE"""),45656.66666666667)</f>
        <v>45656.66667</v>
      </c>
      <c r="B133" s="5">
        <f>IFERROR(__xludf.DUMMYFUNCTION("""COMPUTED_VALUE"""),419.4)</f>
        <v>419.4</v>
      </c>
      <c r="C133" s="5">
        <f>IFERROR(__xludf.DUMMYFUNCTION("""COMPUTED_VALUE"""),427.0)</f>
        <v>427</v>
      </c>
      <c r="D133" s="5">
        <f>IFERROR(__xludf.DUMMYFUNCTION("""COMPUTED_VALUE"""),415.75)</f>
        <v>415.75</v>
      </c>
      <c r="E133" s="5">
        <f>IFERROR(__xludf.DUMMYFUNCTION("""COMPUTED_VALUE"""),417.41)</f>
        <v>417.41</v>
      </c>
      <c r="F133" s="5">
        <f>IFERROR(__xludf.DUMMYFUNCTION("""COMPUTED_VALUE"""),6.4941012E7)</f>
        <v>64941012</v>
      </c>
    </row>
    <row r="134">
      <c r="A134" s="7">
        <f>IFERROR(__xludf.DUMMYFUNCTION("""COMPUTED_VALUE"""),45657.66666666667)</f>
        <v>45657.66667</v>
      </c>
      <c r="B134" s="5">
        <f>IFERROR(__xludf.DUMMYFUNCTION("""COMPUTED_VALUE"""),423.79)</f>
        <v>423.79</v>
      </c>
      <c r="C134" s="5">
        <f>IFERROR(__xludf.DUMMYFUNCTION("""COMPUTED_VALUE"""),427.93)</f>
        <v>427.93</v>
      </c>
      <c r="D134" s="5">
        <f>IFERROR(__xludf.DUMMYFUNCTION("""COMPUTED_VALUE"""),402.54)</f>
        <v>402.54</v>
      </c>
      <c r="E134" s="5">
        <f>IFERROR(__xludf.DUMMYFUNCTION("""COMPUTED_VALUE"""),403.84)</f>
        <v>403.84</v>
      </c>
      <c r="F134" s="5">
        <f>IFERROR(__xludf.DUMMYFUNCTION("""COMPUTED_VALUE"""),7.6825121E7)</f>
        <v>76825121</v>
      </c>
    </row>
    <row r="135">
      <c r="A135" s="7">
        <f>IFERROR(__xludf.DUMMYFUNCTION("""COMPUTED_VALUE"""),45659.66666666667)</f>
        <v>45659.66667</v>
      </c>
      <c r="B135" s="5">
        <f>IFERROR(__xludf.DUMMYFUNCTION("""COMPUTED_VALUE"""),390.1)</f>
        <v>390.1</v>
      </c>
      <c r="C135" s="5">
        <f>IFERROR(__xludf.DUMMYFUNCTION("""COMPUTED_VALUE"""),392.73)</f>
        <v>392.73</v>
      </c>
      <c r="D135" s="5">
        <f>IFERROR(__xludf.DUMMYFUNCTION("""COMPUTED_VALUE"""),373.04)</f>
        <v>373.04</v>
      </c>
      <c r="E135" s="5">
        <f>IFERROR(__xludf.DUMMYFUNCTION("""COMPUTED_VALUE"""),379.28)</f>
        <v>379.28</v>
      </c>
      <c r="F135" s="5">
        <f>IFERROR(__xludf.DUMMYFUNCTION("""COMPUTED_VALUE"""),1.09710749E8)</f>
        <v>109710749</v>
      </c>
    </row>
    <row r="136">
      <c r="A136" s="7">
        <f>IFERROR(__xludf.DUMMYFUNCTION("""COMPUTED_VALUE"""),45660.66666666667)</f>
        <v>45660.66667</v>
      </c>
      <c r="B136" s="5">
        <f>IFERROR(__xludf.DUMMYFUNCTION("""COMPUTED_VALUE"""),381.48)</f>
        <v>381.48</v>
      </c>
      <c r="C136" s="5">
        <f>IFERROR(__xludf.DUMMYFUNCTION("""COMPUTED_VALUE"""),411.88)</f>
        <v>411.88</v>
      </c>
      <c r="D136" s="5">
        <f>IFERROR(__xludf.DUMMYFUNCTION("""COMPUTED_VALUE"""),379.45)</f>
        <v>379.45</v>
      </c>
      <c r="E136" s="5">
        <f>IFERROR(__xludf.DUMMYFUNCTION("""COMPUTED_VALUE"""),410.44)</f>
        <v>410.44</v>
      </c>
      <c r="F136" s="5">
        <f>IFERROR(__xludf.DUMMYFUNCTION("""COMPUTED_VALUE"""),9.5423329E7)</f>
        <v>95423329</v>
      </c>
    </row>
    <row r="137">
      <c r="A137" s="7">
        <f>IFERROR(__xludf.DUMMYFUNCTION("""COMPUTED_VALUE"""),45663.66666666667)</f>
        <v>45663.66667</v>
      </c>
      <c r="B137" s="5">
        <f>IFERROR(__xludf.DUMMYFUNCTION("""COMPUTED_VALUE"""),423.2)</f>
        <v>423.2</v>
      </c>
      <c r="C137" s="5">
        <f>IFERROR(__xludf.DUMMYFUNCTION("""COMPUTED_VALUE"""),426.43)</f>
        <v>426.43</v>
      </c>
      <c r="D137" s="5">
        <f>IFERROR(__xludf.DUMMYFUNCTION("""COMPUTED_VALUE"""),401.7)</f>
        <v>401.7</v>
      </c>
      <c r="E137" s="5">
        <f>IFERROR(__xludf.DUMMYFUNCTION("""COMPUTED_VALUE"""),411.05)</f>
        <v>411.05</v>
      </c>
      <c r="F137" s="5">
        <f>IFERROR(__xludf.DUMMYFUNCTION("""COMPUTED_VALUE"""),8.5516534E7)</f>
        <v>85516534</v>
      </c>
    </row>
    <row r="138">
      <c r="A138" s="7">
        <f>IFERROR(__xludf.DUMMYFUNCTION("""COMPUTED_VALUE"""),45664.66666666667)</f>
        <v>45664.66667</v>
      </c>
      <c r="B138" s="5">
        <f>IFERROR(__xludf.DUMMYFUNCTION("""COMPUTED_VALUE"""),405.83)</f>
        <v>405.83</v>
      </c>
      <c r="C138" s="5">
        <f>IFERROR(__xludf.DUMMYFUNCTION("""COMPUTED_VALUE"""),414.33)</f>
        <v>414.33</v>
      </c>
      <c r="D138" s="5">
        <f>IFERROR(__xludf.DUMMYFUNCTION("""COMPUTED_VALUE"""),390.0)</f>
        <v>390</v>
      </c>
      <c r="E138" s="5">
        <f>IFERROR(__xludf.DUMMYFUNCTION("""COMPUTED_VALUE"""),394.36)</f>
        <v>394.36</v>
      </c>
      <c r="F138" s="5">
        <f>IFERROR(__xludf.DUMMYFUNCTION("""COMPUTED_VALUE"""),7.5699525E7)</f>
        <v>75699525</v>
      </c>
    </row>
    <row r="139">
      <c r="A139" s="7">
        <f>IFERROR(__xludf.DUMMYFUNCTION("""COMPUTED_VALUE"""),45665.66666666667)</f>
        <v>45665.66667</v>
      </c>
      <c r="B139" s="5">
        <f>IFERROR(__xludf.DUMMYFUNCTION("""COMPUTED_VALUE"""),392.95)</f>
        <v>392.95</v>
      </c>
      <c r="C139" s="5">
        <f>IFERROR(__xludf.DUMMYFUNCTION("""COMPUTED_VALUE"""),402.5)</f>
        <v>402.5</v>
      </c>
      <c r="D139" s="5">
        <f>IFERROR(__xludf.DUMMYFUNCTION("""COMPUTED_VALUE"""),387.4)</f>
        <v>387.4</v>
      </c>
      <c r="E139" s="5">
        <f>IFERROR(__xludf.DUMMYFUNCTION("""COMPUTED_VALUE"""),394.94)</f>
        <v>394.94</v>
      </c>
      <c r="F139" s="5">
        <f>IFERROR(__xludf.DUMMYFUNCTION("""COMPUTED_VALUE"""),7.3038805E7)</f>
        <v>73038805</v>
      </c>
    </row>
    <row r="140">
      <c r="A140" s="7">
        <f>IFERROR(__xludf.DUMMYFUNCTION("""COMPUTED_VALUE"""),45667.66666666667)</f>
        <v>45667.66667</v>
      </c>
      <c r="B140" s="5">
        <f>IFERROR(__xludf.DUMMYFUNCTION("""COMPUTED_VALUE"""),391.4)</f>
        <v>391.4</v>
      </c>
      <c r="C140" s="5">
        <f>IFERROR(__xludf.DUMMYFUNCTION("""COMPUTED_VALUE"""),399.28)</f>
        <v>399.28</v>
      </c>
      <c r="D140" s="5">
        <f>IFERROR(__xludf.DUMMYFUNCTION("""COMPUTED_VALUE"""),377.29)</f>
        <v>377.29</v>
      </c>
      <c r="E140" s="5">
        <f>IFERROR(__xludf.DUMMYFUNCTION("""COMPUTED_VALUE"""),394.74)</f>
        <v>394.74</v>
      </c>
      <c r="F140" s="5">
        <f>IFERROR(__xludf.DUMMYFUNCTION("""COMPUTED_VALUE"""),6.2287333E7)</f>
        <v>62287333</v>
      </c>
    </row>
    <row r="141">
      <c r="A141" s="7">
        <f>IFERROR(__xludf.DUMMYFUNCTION("""COMPUTED_VALUE"""),45670.66666666667)</f>
        <v>45670.66667</v>
      </c>
      <c r="B141" s="5">
        <f>IFERROR(__xludf.DUMMYFUNCTION("""COMPUTED_VALUE"""),383.21)</f>
        <v>383.21</v>
      </c>
      <c r="C141" s="5">
        <f>IFERROR(__xludf.DUMMYFUNCTION("""COMPUTED_VALUE"""),403.79)</f>
        <v>403.79</v>
      </c>
      <c r="D141" s="5">
        <f>IFERROR(__xludf.DUMMYFUNCTION("""COMPUTED_VALUE"""),380.07)</f>
        <v>380.07</v>
      </c>
      <c r="E141" s="5">
        <f>IFERROR(__xludf.DUMMYFUNCTION("""COMPUTED_VALUE"""),403.31)</f>
        <v>403.31</v>
      </c>
      <c r="F141" s="5">
        <f>IFERROR(__xludf.DUMMYFUNCTION("""COMPUTED_VALUE"""),6.7580494E7)</f>
        <v>67580494</v>
      </c>
    </row>
    <row r="142">
      <c r="A142" s="7">
        <f>IFERROR(__xludf.DUMMYFUNCTION("""COMPUTED_VALUE"""),45671.66666666667)</f>
        <v>45671.66667</v>
      </c>
      <c r="B142" s="5">
        <f>IFERROR(__xludf.DUMMYFUNCTION("""COMPUTED_VALUE"""),414.34)</f>
        <v>414.34</v>
      </c>
      <c r="C142" s="5">
        <f>IFERROR(__xludf.DUMMYFUNCTION("""COMPUTED_VALUE"""),422.64)</f>
        <v>422.64</v>
      </c>
      <c r="D142" s="5">
        <f>IFERROR(__xludf.DUMMYFUNCTION("""COMPUTED_VALUE"""),394.54)</f>
        <v>394.54</v>
      </c>
      <c r="E142" s="5">
        <f>IFERROR(__xludf.DUMMYFUNCTION("""COMPUTED_VALUE"""),396.36)</f>
        <v>396.36</v>
      </c>
      <c r="F142" s="5">
        <f>IFERROR(__xludf.DUMMYFUNCTION("""COMPUTED_VALUE"""),8.4565022E7)</f>
        <v>84565022</v>
      </c>
    </row>
    <row r="143">
      <c r="A143" s="7">
        <f>IFERROR(__xludf.DUMMYFUNCTION("""COMPUTED_VALUE"""),45672.66666666667)</f>
        <v>45672.66667</v>
      </c>
      <c r="B143" s="5">
        <f>IFERROR(__xludf.DUMMYFUNCTION("""COMPUTED_VALUE"""),409.9)</f>
        <v>409.9</v>
      </c>
      <c r="C143" s="5">
        <f>IFERROR(__xludf.DUMMYFUNCTION("""COMPUTED_VALUE"""),429.8)</f>
        <v>429.8</v>
      </c>
      <c r="D143" s="5">
        <f>IFERROR(__xludf.DUMMYFUNCTION("""COMPUTED_VALUE"""),405.66)</f>
        <v>405.66</v>
      </c>
      <c r="E143" s="5">
        <f>IFERROR(__xludf.DUMMYFUNCTION("""COMPUTED_VALUE"""),428.22)</f>
        <v>428.22</v>
      </c>
      <c r="F143" s="5">
        <f>IFERROR(__xludf.DUMMYFUNCTION("""COMPUTED_VALUE"""),8.137546E7)</f>
        <v>81375460</v>
      </c>
    </row>
    <row r="144">
      <c r="A144" s="7">
        <f>IFERROR(__xludf.DUMMYFUNCTION("""COMPUTED_VALUE"""),45673.66666666667)</f>
        <v>45673.66667</v>
      </c>
      <c r="B144" s="5">
        <f>IFERROR(__xludf.DUMMYFUNCTION("""COMPUTED_VALUE"""),423.49)</f>
        <v>423.49</v>
      </c>
      <c r="C144" s="5">
        <f>IFERROR(__xludf.DUMMYFUNCTION("""COMPUTED_VALUE"""),424.0)</f>
        <v>424</v>
      </c>
      <c r="D144" s="5">
        <f>IFERROR(__xludf.DUMMYFUNCTION("""COMPUTED_VALUE"""),409.13)</f>
        <v>409.13</v>
      </c>
      <c r="E144" s="5">
        <f>IFERROR(__xludf.DUMMYFUNCTION("""COMPUTED_VALUE"""),413.82)</f>
        <v>413.82</v>
      </c>
      <c r="F144" s="5">
        <f>IFERROR(__xludf.DUMMYFUNCTION("""COMPUTED_VALUE"""),6.8335151E7)</f>
        <v>68335151</v>
      </c>
    </row>
    <row r="145">
      <c r="A145" s="7">
        <f>IFERROR(__xludf.DUMMYFUNCTION("""COMPUTED_VALUE"""),45674.66666666667)</f>
        <v>45674.66667</v>
      </c>
      <c r="B145" s="5">
        <f>IFERROR(__xludf.DUMMYFUNCTION("""COMPUTED_VALUE"""),421.5)</f>
        <v>421.5</v>
      </c>
      <c r="C145" s="5">
        <f>IFERROR(__xludf.DUMMYFUNCTION("""COMPUTED_VALUE"""),439.74)</f>
        <v>439.74</v>
      </c>
      <c r="D145" s="5">
        <f>IFERROR(__xludf.DUMMYFUNCTION("""COMPUTED_VALUE"""),419.75)</f>
        <v>419.75</v>
      </c>
      <c r="E145" s="5">
        <f>IFERROR(__xludf.DUMMYFUNCTION("""COMPUTED_VALUE"""),426.5)</f>
        <v>426.5</v>
      </c>
      <c r="F145" s="5">
        <f>IFERROR(__xludf.DUMMYFUNCTION("""COMPUTED_VALUE"""),9.4991429E7)</f>
        <v>94991429</v>
      </c>
    </row>
    <row r="146">
      <c r="A146" s="7">
        <f>IFERROR(__xludf.DUMMYFUNCTION("""COMPUTED_VALUE"""),45678.66666666667)</f>
        <v>45678.66667</v>
      </c>
      <c r="B146" s="5">
        <f>IFERROR(__xludf.DUMMYFUNCTION("""COMPUTED_VALUE"""),432.64)</f>
        <v>432.64</v>
      </c>
      <c r="C146" s="5">
        <f>IFERROR(__xludf.DUMMYFUNCTION("""COMPUTED_VALUE"""),433.2)</f>
        <v>433.2</v>
      </c>
      <c r="D146" s="5">
        <f>IFERROR(__xludf.DUMMYFUNCTION("""COMPUTED_VALUE"""),406.31)</f>
        <v>406.31</v>
      </c>
      <c r="E146" s="5">
        <f>IFERROR(__xludf.DUMMYFUNCTION("""COMPUTED_VALUE"""),424.07)</f>
        <v>424.07</v>
      </c>
      <c r="F146" s="5">
        <f>IFERROR(__xludf.DUMMYFUNCTION("""COMPUTED_VALUE"""),8.7320894E7)</f>
        <v>87320894</v>
      </c>
    </row>
    <row r="147">
      <c r="A147" s="7">
        <f>IFERROR(__xludf.DUMMYFUNCTION("""COMPUTED_VALUE"""),45679.66666666667)</f>
        <v>45679.66667</v>
      </c>
      <c r="B147" s="5">
        <f>IFERROR(__xludf.DUMMYFUNCTION("""COMPUTED_VALUE"""),416.81)</f>
        <v>416.81</v>
      </c>
      <c r="C147" s="5">
        <f>IFERROR(__xludf.DUMMYFUNCTION("""COMPUTED_VALUE"""),428.0)</f>
        <v>428</v>
      </c>
      <c r="D147" s="5">
        <f>IFERROR(__xludf.DUMMYFUNCTION("""COMPUTED_VALUE"""),414.59)</f>
        <v>414.59</v>
      </c>
      <c r="E147" s="5">
        <f>IFERROR(__xludf.DUMMYFUNCTION("""COMPUTED_VALUE"""),415.11)</f>
        <v>415.11</v>
      </c>
      <c r="F147" s="5">
        <f>IFERROR(__xludf.DUMMYFUNCTION("""COMPUTED_VALUE"""),6.0963342E7)</f>
        <v>60963342</v>
      </c>
    </row>
    <row r="148">
      <c r="A148" s="7">
        <f>IFERROR(__xludf.DUMMYFUNCTION("""COMPUTED_VALUE"""),45680.66666666667)</f>
        <v>45680.66667</v>
      </c>
      <c r="B148" s="5">
        <f>IFERROR(__xludf.DUMMYFUNCTION("""COMPUTED_VALUE"""),416.06)</f>
        <v>416.06</v>
      </c>
      <c r="C148" s="5">
        <f>IFERROR(__xludf.DUMMYFUNCTION("""COMPUTED_VALUE"""),420.73)</f>
        <v>420.73</v>
      </c>
      <c r="D148" s="5">
        <f>IFERROR(__xludf.DUMMYFUNCTION("""COMPUTED_VALUE"""),408.95)</f>
        <v>408.95</v>
      </c>
      <c r="E148" s="5">
        <f>IFERROR(__xludf.DUMMYFUNCTION("""COMPUTED_VALUE"""),412.38)</f>
        <v>412.38</v>
      </c>
      <c r="F148" s="5">
        <f>IFERROR(__xludf.DUMMYFUNCTION("""COMPUTED_VALUE"""),5.0690592E7)</f>
        <v>50690592</v>
      </c>
    </row>
    <row r="149">
      <c r="A149" s="7">
        <f>IFERROR(__xludf.DUMMYFUNCTION("""COMPUTED_VALUE"""),45681.66666666667)</f>
        <v>45681.66667</v>
      </c>
      <c r="B149" s="5">
        <f>IFERROR(__xludf.DUMMYFUNCTION("""COMPUTED_VALUE"""),414.45)</f>
        <v>414.45</v>
      </c>
      <c r="C149" s="5">
        <f>IFERROR(__xludf.DUMMYFUNCTION("""COMPUTED_VALUE"""),418.88)</f>
        <v>418.88</v>
      </c>
      <c r="D149" s="5">
        <f>IFERROR(__xludf.DUMMYFUNCTION("""COMPUTED_VALUE"""),405.78)</f>
        <v>405.78</v>
      </c>
      <c r="E149" s="5">
        <f>IFERROR(__xludf.DUMMYFUNCTION("""COMPUTED_VALUE"""),406.58)</f>
        <v>406.58</v>
      </c>
      <c r="F149" s="5">
        <f>IFERROR(__xludf.DUMMYFUNCTION("""COMPUTED_VALUE"""),5.6427149E7)</f>
        <v>56427149</v>
      </c>
    </row>
    <row r="150">
      <c r="A150" s="7">
        <f>IFERROR(__xludf.DUMMYFUNCTION("""COMPUTED_VALUE"""),45684.66666666667)</f>
        <v>45684.66667</v>
      </c>
      <c r="B150" s="5">
        <f>IFERROR(__xludf.DUMMYFUNCTION("""COMPUTED_VALUE"""),394.8)</f>
        <v>394.8</v>
      </c>
      <c r="C150" s="5">
        <f>IFERROR(__xludf.DUMMYFUNCTION("""COMPUTED_VALUE"""),406.69)</f>
        <v>406.69</v>
      </c>
      <c r="D150" s="5">
        <f>IFERROR(__xludf.DUMMYFUNCTION("""COMPUTED_VALUE"""),389.0)</f>
        <v>389</v>
      </c>
      <c r="E150" s="5">
        <f>IFERROR(__xludf.DUMMYFUNCTION("""COMPUTED_VALUE"""),397.15)</f>
        <v>397.15</v>
      </c>
      <c r="F150" s="5">
        <f>IFERROR(__xludf.DUMMYFUNCTION("""COMPUTED_VALUE"""),5.812551E7)</f>
        <v>58125510</v>
      </c>
    </row>
    <row r="151">
      <c r="A151" s="7">
        <f>IFERROR(__xludf.DUMMYFUNCTION("""COMPUTED_VALUE"""),45685.66666666667)</f>
        <v>45685.66667</v>
      </c>
      <c r="B151" s="5">
        <f>IFERROR(__xludf.DUMMYFUNCTION("""COMPUTED_VALUE"""),396.91)</f>
        <v>396.91</v>
      </c>
      <c r="C151" s="5">
        <f>IFERROR(__xludf.DUMMYFUNCTION("""COMPUTED_VALUE"""),400.59)</f>
        <v>400.59</v>
      </c>
      <c r="D151" s="5">
        <f>IFERROR(__xludf.DUMMYFUNCTION("""COMPUTED_VALUE"""),386.5)</f>
        <v>386.5</v>
      </c>
      <c r="E151" s="5">
        <f>IFERROR(__xludf.DUMMYFUNCTION("""COMPUTED_VALUE"""),398.09)</f>
        <v>398.09</v>
      </c>
      <c r="F151" s="5">
        <f>IFERROR(__xludf.DUMMYFUNCTION("""COMPUTED_VALUE"""),4.8910676E7)</f>
        <v>48910676</v>
      </c>
    </row>
    <row r="152">
      <c r="A152" s="7">
        <f>IFERROR(__xludf.DUMMYFUNCTION("""COMPUTED_VALUE"""),45686.66666666667)</f>
        <v>45686.66667</v>
      </c>
      <c r="B152" s="5">
        <f>IFERROR(__xludf.DUMMYFUNCTION("""COMPUTED_VALUE"""),395.21)</f>
        <v>395.21</v>
      </c>
      <c r="C152" s="5">
        <f>IFERROR(__xludf.DUMMYFUNCTION("""COMPUTED_VALUE"""),398.59)</f>
        <v>398.59</v>
      </c>
      <c r="D152" s="5">
        <f>IFERROR(__xludf.DUMMYFUNCTION("""COMPUTED_VALUE"""),384.48)</f>
        <v>384.48</v>
      </c>
      <c r="E152" s="5">
        <f>IFERROR(__xludf.DUMMYFUNCTION("""COMPUTED_VALUE"""),389.1)</f>
        <v>389.1</v>
      </c>
      <c r="F152" s="5">
        <f>IFERROR(__xludf.DUMMYFUNCTION("""COMPUTED_VALUE"""),6.8033648E7)</f>
        <v>68033648</v>
      </c>
    </row>
    <row r="153">
      <c r="A153" s="7">
        <f>IFERROR(__xludf.DUMMYFUNCTION("""COMPUTED_VALUE"""),45687.66666666667)</f>
        <v>45687.66667</v>
      </c>
      <c r="B153" s="5">
        <f>IFERROR(__xludf.DUMMYFUNCTION("""COMPUTED_VALUE"""),410.78)</f>
        <v>410.78</v>
      </c>
      <c r="C153" s="5">
        <f>IFERROR(__xludf.DUMMYFUNCTION("""COMPUTED_VALUE"""),412.5)</f>
        <v>412.5</v>
      </c>
      <c r="D153" s="5">
        <f>IFERROR(__xludf.DUMMYFUNCTION("""COMPUTED_VALUE"""),384.41)</f>
        <v>384.41</v>
      </c>
      <c r="E153" s="5">
        <f>IFERROR(__xludf.DUMMYFUNCTION("""COMPUTED_VALUE"""),400.28)</f>
        <v>400.28</v>
      </c>
      <c r="F153" s="5">
        <f>IFERROR(__xludf.DUMMYFUNCTION("""COMPUTED_VALUE"""),9.8092879E7)</f>
        <v>98092879</v>
      </c>
    </row>
    <row r="154">
      <c r="A154" s="7">
        <f>IFERROR(__xludf.DUMMYFUNCTION("""COMPUTED_VALUE"""),45688.66666666667)</f>
        <v>45688.66667</v>
      </c>
      <c r="B154" s="5">
        <f>IFERROR(__xludf.DUMMYFUNCTION("""COMPUTED_VALUE"""),401.53)</f>
        <v>401.53</v>
      </c>
      <c r="C154" s="5">
        <f>IFERROR(__xludf.DUMMYFUNCTION("""COMPUTED_VALUE"""),419.99)</f>
        <v>419.99</v>
      </c>
      <c r="D154" s="5">
        <f>IFERROR(__xludf.DUMMYFUNCTION("""COMPUTED_VALUE"""),401.34)</f>
        <v>401.34</v>
      </c>
      <c r="E154" s="5">
        <f>IFERROR(__xludf.DUMMYFUNCTION("""COMPUTED_VALUE"""),404.6)</f>
        <v>404.6</v>
      </c>
      <c r="F154" s="5">
        <f>IFERROR(__xludf.DUMMYFUNCTION("""COMPUTED_VALUE"""),8.3568219E7)</f>
        <v>83568219</v>
      </c>
    </row>
    <row r="155">
      <c r="A155" s="7">
        <f>IFERROR(__xludf.DUMMYFUNCTION("""COMPUTED_VALUE"""),45691.66666666667)</f>
        <v>45691.66667</v>
      </c>
      <c r="B155" s="5">
        <f>IFERROR(__xludf.DUMMYFUNCTION("""COMPUTED_VALUE"""),386.68)</f>
        <v>386.68</v>
      </c>
      <c r="C155" s="5">
        <f>IFERROR(__xludf.DUMMYFUNCTION("""COMPUTED_VALUE"""),389.17)</f>
        <v>389.17</v>
      </c>
      <c r="D155" s="5">
        <f>IFERROR(__xludf.DUMMYFUNCTION("""COMPUTED_VALUE"""),374.36)</f>
        <v>374.36</v>
      </c>
      <c r="E155" s="5">
        <f>IFERROR(__xludf.DUMMYFUNCTION("""COMPUTED_VALUE"""),383.68)</f>
        <v>383.68</v>
      </c>
      <c r="F155" s="5">
        <f>IFERROR(__xludf.DUMMYFUNCTION("""COMPUTED_VALUE"""),9.3732122E7)</f>
        <v>93732122</v>
      </c>
    </row>
    <row r="156">
      <c r="A156" s="7">
        <f>IFERROR(__xludf.DUMMYFUNCTION("""COMPUTED_VALUE"""),45692.66666666667)</f>
        <v>45692.66667</v>
      </c>
      <c r="B156" s="5">
        <f>IFERROR(__xludf.DUMMYFUNCTION("""COMPUTED_VALUE"""),382.63)</f>
        <v>382.63</v>
      </c>
      <c r="C156" s="5">
        <f>IFERROR(__xludf.DUMMYFUNCTION("""COMPUTED_VALUE"""),394.0)</f>
        <v>394</v>
      </c>
      <c r="D156" s="5">
        <f>IFERROR(__xludf.DUMMYFUNCTION("""COMPUTED_VALUE"""),381.4)</f>
        <v>381.4</v>
      </c>
      <c r="E156" s="5">
        <f>IFERROR(__xludf.DUMMYFUNCTION("""COMPUTED_VALUE"""),392.21)</f>
        <v>392.21</v>
      </c>
      <c r="F156" s="5">
        <f>IFERROR(__xludf.DUMMYFUNCTION("""COMPUTED_VALUE"""),5.7072235E7)</f>
        <v>57072235</v>
      </c>
    </row>
    <row r="157">
      <c r="A157" s="7">
        <f>IFERROR(__xludf.DUMMYFUNCTION("""COMPUTED_VALUE"""),45693.66666666667)</f>
        <v>45693.66667</v>
      </c>
      <c r="B157" s="5">
        <f>IFERROR(__xludf.DUMMYFUNCTION("""COMPUTED_VALUE"""),387.51)</f>
        <v>387.51</v>
      </c>
      <c r="C157" s="5">
        <f>IFERROR(__xludf.DUMMYFUNCTION("""COMPUTED_VALUE"""),388.39)</f>
        <v>388.39</v>
      </c>
      <c r="D157" s="5">
        <f>IFERROR(__xludf.DUMMYFUNCTION("""COMPUTED_VALUE"""),375.53)</f>
        <v>375.53</v>
      </c>
      <c r="E157" s="5">
        <f>IFERROR(__xludf.DUMMYFUNCTION("""COMPUTED_VALUE"""),378.17)</f>
        <v>378.17</v>
      </c>
      <c r="F157" s="5">
        <f>IFERROR(__xludf.DUMMYFUNCTION("""COMPUTED_VALUE"""),5.7614721E7)</f>
        <v>57614721</v>
      </c>
    </row>
    <row r="158">
      <c r="A158" s="7">
        <f>IFERROR(__xludf.DUMMYFUNCTION("""COMPUTED_VALUE"""),45694.66666666667)</f>
        <v>45694.66667</v>
      </c>
      <c r="B158" s="5">
        <f>IFERROR(__xludf.DUMMYFUNCTION("""COMPUTED_VALUE"""),373.03)</f>
        <v>373.03</v>
      </c>
      <c r="C158" s="5">
        <f>IFERROR(__xludf.DUMMYFUNCTION("""COMPUTED_VALUE"""),375.4)</f>
        <v>375.4</v>
      </c>
      <c r="D158" s="5">
        <f>IFERROR(__xludf.DUMMYFUNCTION("""COMPUTED_VALUE"""),363.18)</f>
        <v>363.18</v>
      </c>
      <c r="E158" s="5">
        <f>IFERROR(__xludf.DUMMYFUNCTION("""COMPUTED_VALUE"""),374.32)</f>
        <v>374.32</v>
      </c>
      <c r="F158" s="5">
        <f>IFERROR(__xludf.DUMMYFUNCTION("""COMPUTED_VALUE"""),7.791823E7)</f>
        <v>77918230</v>
      </c>
    </row>
    <row r="159">
      <c r="A159" s="7">
        <f>IFERROR(__xludf.DUMMYFUNCTION("""COMPUTED_VALUE"""),45695.66666666667)</f>
        <v>45695.66667</v>
      </c>
      <c r="B159" s="5">
        <f>IFERROR(__xludf.DUMMYFUNCTION("""COMPUTED_VALUE"""),370.19)</f>
        <v>370.19</v>
      </c>
      <c r="C159" s="5">
        <f>IFERROR(__xludf.DUMMYFUNCTION("""COMPUTED_VALUE"""),380.55)</f>
        <v>380.55</v>
      </c>
      <c r="D159" s="5">
        <f>IFERROR(__xludf.DUMMYFUNCTION("""COMPUTED_VALUE"""),360.34)</f>
        <v>360.34</v>
      </c>
      <c r="E159" s="5">
        <f>IFERROR(__xludf.DUMMYFUNCTION("""COMPUTED_VALUE"""),361.62)</f>
        <v>361.62</v>
      </c>
      <c r="F159" s="5">
        <f>IFERROR(__xludf.DUMMYFUNCTION("""COMPUTED_VALUE"""),7.0298258E7)</f>
        <v>70298258</v>
      </c>
    </row>
    <row r="160">
      <c r="A160" s="7">
        <f>IFERROR(__xludf.DUMMYFUNCTION("""COMPUTED_VALUE"""),45698.66666666667)</f>
        <v>45698.66667</v>
      </c>
      <c r="B160" s="5">
        <f>IFERROR(__xludf.DUMMYFUNCTION("""COMPUTED_VALUE"""),356.21)</f>
        <v>356.21</v>
      </c>
      <c r="C160" s="5">
        <f>IFERROR(__xludf.DUMMYFUNCTION("""COMPUTED_VALUE"""),362.7)</f>
        <v>362.7</v>
      </c>
      <c r="D160" s="5">
        <f>IFERROR(__xludf.DUMMYFUNCTION("""COMPUTED_VALUE"""),350.51)</f>
        <v>350.51</v>
      </c>
      <c r="E160" s="5">
        <f>IFERROR(__xludf.DUMMYFUNCTION("""COMPUTED_VALUE"""),350.73)</f>
        <v>350.73</v>
      </c>
      <c r="F160" s="5">
        <f>IFERROR(__xludf.DUMMYFUNCTION("""COMPUTED_VALUE"""),7.7514903E7)</f>
        <v>77514903</v>
      </c>
    </row>
    <row r="161">
      <c r="A161" s="7">
        <f>IFERROR(__xludf.DUMMYFUNCTION("""COMPUTED_VALUE"""),45699.66666666667)</f>
        <v>45699.66667</v>
      </c>
      <c r="B161" s="5">
        <f>IFERROR(__xludf.DUMMYFUNCTION("""COMPUTED_VALUE"""),345.8)</f>
        <v>345.8</v>
      </c>
      <c r="C161" s="5">
        <f>IFERROR(__xludf.DUMMYFUNCTION("""COMPUTED_VALUE"""),349.37)</f>
        <v>349.37</v>
      </c>
      <c r="D161" s="5">
        <f>IFERROR(__xludf.DUMMYFUNCTION("""COMPUTED_VALUE"""),325.1)</f>
        <v>325.1</v>
      </c>
      <c r="E161" s="5">
        <f>IFERROR(__xludf.DUMMYFUNCTION("""COMPUTED_VALUE"""),328.5)</f>
        <v>328.5</v>
      </c>
      <c r="F161" s="5">
        <f>IFERROR(__xludf.DUMMYFUNCTION("""COMPUTED_VALUE"""),1.185434E8)</f>
        <v>118543400</v>
      </c>
    </row>
    <row r="162">
      <c r="A162" s="7">
        <f>IFERROR(__xludf.DUMMYFUNCTION("""COMPUTED_VALUE"""),45700.66666666667)</f>
        <v>45700.66667</v>
      </c>
      <c r="B162" s="5">
        <f>IFERROR(__xludf.DUMMYFUNCTION("""COMPUTED_VALUE"""),329.94)</f>
        <v>329.94</v>
      </c>
      <c r="C162" s="5">
        <f>IFERROR(__xludf.DUMMYFUNCTION("""COMPUTED_VALUE"""),346.4)</f>
        <v>346.4</v>
      </c>
      <c r="D162" s="5">
        <f>IFERROR(__xludf.DUMMYFUNCTION("""COMPUTED_VALUE"""),329.12)</f>
        <v>329.12</v>
      </c>
      <c r="E162" s="5">
        <f>IFERROR(__xludf.DUMMYFUNCTION("""COMPUTED_VALUE"""),336.51)</f>
        <v>336.51</v>
      </c>
      <c r="F162" s="5">
        <f>IFERROR(__xludf.DUMMYFUNCTION("""COMPUTED_VALUE"""),1.05382729E8)</f>
        <v>105382729</v>
      </c>
    </row>
    <row r="163">
      <c r="A163" s="7">
        <f>IFERROR(__xludf.DUMMYFUNCTION("""COMPUTED_VALUE"""),45701.66666666667)</f>
        <v>45701.66667</v>
      </c>
      <c r="B163" s="5">
        <f>IFERROR(__xludf.DUMMYFUNCTION("""COMPUTED_VALUE"""),345.0)</f>
        <v>345</v>
      </c>
      <c r="C163" s="5">
        <f>IFERROR(__xludf.DUMMYFUNCTION("""COMPUTED_VALUE"""),358.69)</f>
        <v>358.69</v>
      </c>
      <c r="D163" s="5">
        <f>IFERROR(__xludf.DUMMYFUNCTION("""COMPUTED_VALUE"""),342.85)</f>
        <v>342.85</v>
      </c>
      <c r="E163" s="5">
        <f>IFERROR(__xludf.DUMMYFUNCTION("""COMPUTED_VALUE"""),355.94)</f>
        <v>355.94</v>
      </c>
      <c r="F163" s="5">
        <f>IFERROR(__xludf.DUMMYFUNCTION("""COMPUTED_VALUE"""),8.9441519E7)</f>
        <v>89441519</v>
      </c>
    </row>
    <row r="164">
      <c r="A164" s="7">
        <f>IFERROR(__xludf.DUMMYFUNCTION("""COMPUTED_VALUE"""),45702.66666666667)</f>
        <v>45702.66667</v>
      </c>
      <c r="B164" s="5">
        <f>IFERROR(__xludf.DUMMYFUNCTION("""COMPUTED_VALUE"""),360.62)</f>
        <v>360.62</v>
      </c>
      <c r="C164" s="5">
        <f>IFERROR(__xludf.DUMMYFUNCTION("""COMPUTED_VALUE"""),362.0)</f>
        <v>362</v>
      </c>
      <c r="D164" s="5">
        <f>IFERROR(__xludf.DUMMYFUNCTION("""COMPUTED_VALUE"""),347.5)</f>
        <v>347.5</v>
      </c>
      <c r="E164" s="5">
        <f>IFERROR(__xludf.DUMMYFUNCTION("""COMPUTED_VALUE"""),355.84)</f>
        <v>355.84</v>
      </c>
      <c r="F164" s="5">
        <f>IFERROR(__xludf.DUMMYFUNCTION("""COMPUTED_VALUE"""),6.8277279E7)</f>
        <v>68277279</v>
      </c>
    </row>
    <row r="165">
      <c r="A165" s="7">
        <f>IFERROR(__xludf.DUMMYFUNCTION("""COMPUTED_VALUE"""),45706.66666666667)</f>
        <v>45706.66667</v>
      </c>
      <c r="B165" s="5">
        <f>IFERROR(__xludf.DUMMYFUNCTION("""COMPUTED_VALUE"""),355.01)</f>
        <v>355.01</v>
      </c>
      <c r="C165" s="5">
        <f>IFERROR(__xludf.DUMMYFUNCTION("""COMPUTED_VALUE"""),359.1)</f>
        <v>359.1</v>
      </c>
      <c r="D165" s="5">
        <f>IFERROR(__xludf.DUMMYFUNCTION("""COMPUTED_VALUE"""),350.02)</f>
        <v>350.02</v>
      </c>
      <c r="E165" s="5">
        <f>IFERROR(__xludf.DUMMYFUNCTION("""COMPUTED_VALUE"""),354.11)</f>
        <v>354.11</v>
      </c>
      <c r="F165" s="5">
        <f>IFERROR(__xludf.DUMMYFUNCTION("""COMPUTED_VALUE"""),5.1631702E7)</f>
        <v>51631702</v>
      </c>
    </row>
    <row r="166">
      <c r="A166" s="7">
        <f>IFERROR(__xludf.DUMMYFUNCTION("""COMPUTED_VALUE"""),45707.66666666667)</f>
        <v>45707.66667</v>
      </c>
      <c r="B166" s="5">
        <f>IFERROR(__xludf.DUMMYFUNCTION("""COMPUTED_VALUE"""),354.0)</f>
        <v>354</v>
      </c>
      <c r="C166" s="5">
        <f>IFERROR(__xludf.DUMMYFUNCTION("""COMPUTED_VALUE"""),367.34)</f>
        <v>367.34</v>
      </c>
      <c r="D166" s="5">
        <f>IFERROR(__xludf.DUMMYFUNCTION("""COMPUTED_VALUE"""),353.67)</f>
        <v>353.67</v>
      </c>
      <c r="E166" s="5">
        <f>IFERROR(__xludf.DUMMYFUNCTION("""COMPUTED_VALUE"""),360.56)</f>
        <v>360.56</v>
      </c>
      <c r="F166" s="5">
        <f>IFERROR(__xludf.DUMMYFUNCTION("""COMPUTED_VALUE"""),6.7094374E7)</f>
        <v>67094374</v>
      </c>
    </row>
    <row r="167">
      <c r="A167" s="7">
        <f>IFERROR(__xludf.DUMMYFUNCTION("""COMPUTED_VALUE"""),45708.66666666667)</f>
        <v>45708.66667</v>
      </c>
      <c r="B167" s="5">
        <f>IFERROR(__xludf.DUMMYFUNCTION("""COMPUTED_VALUE"""),361.51)</f>
        <v>361.51</v>
      </c>
      <c r="C167" s="5">
        <f>IFERROR(__xludf.DUMMYFUNCTION("""COMPUTED_VALUE"""),362.3)</f>
        <v>362.3</v>
      </c>
      <c r="D167" s="5">
        <f>IFERROR(__xludf.DUMMYFUNCTION("""COMPUTED_VALUE"""),348.0)</f>
        <v>348</v>
      </c>
      <c r="E167" s="5">
        <f>IFERROR(__xludf.DUMMYFUNCTION("""COMPUTED_VALUE"""),354.4)</f>
        <v>354.4</v>
      </c>
      <c r="F167" s="5">
        <f>IFERROR(__xludf.DUMMYFUNCTION("""COMPUTED_VALUE"""),4.5965354E7)</f>
        <v>45965354</v>
      </c>
    </row>
    <row r="168">
      <c r="A168" s="7">
        <f>IFERROR(__xludf.DUMMYFUNCTION("""COMPUTED_VALUE"""),45709.66666666667)</f>
        <v>45709.66667</v>
      </c>
      <c r="B168" s="5">
        <f>IFERROR(__xludf.DUMMYFUNCTION("""COMPUTED_VALUE"""),353.44)</f>
        <v>353.44</v>
      </c>
      <c r="C168" s="5">
        <f>IFERROR(__xludf.DUMMYFUNCTION("""COMPUTED_VALUE"""),354.98)</f>
        <v>354.98</v>
      </c>
      <c r="D168" s="5">
        <f>IFERROR(__xludf.DUMMYFUNCTION("""COMPUTED_VALUE"""),334.42)</f>
        <v>334.42</v>
      </c>
      <c r="E168" s="5">
        <f>IFERROR(__xludf.DUMMYFUNCTION("""COMPUTED_VALUE"""),337.8)</f>
        <v>337.8</v>
      </c>
      <c r="F168" s="5">
        <f>IFERROR(__xludf.DUMMYFUNCTION("""COMPUTED_VALUE"""),7.4058648E7)</f>
        <v>74058648</v>
      </c>
    </row>
    <row r="169">
      <c r="A169" s="7">
        <f>IFERROR(__xludf.DUMMYFUNCTION("""COMPUTED_VALUE"""),45712.66666666667)</f>
        <v>45712.66667</v>
      </c>
      <c r="B169" s="5">
        <f>IFERROR(__xludf.DUMMYFUNCTION("""COMPUTED_VALUE"""),338.14)</f>
        <v>338.14</v>
      </c>
      <c r="C169" s="5">
        <f>IFERROR(__xludf.DUMMYFUNCTION("""COMPUTED_VALUE"""),342.4)</f>
        <v>342.4</v>
      </c>
      <c r="D169" s="5">
        <f>IFERROR(__xludf.DUMMYFUNCTION("""COMPUTED_VALUE"""),324.7)</f>
        <v>324.7</v>
      </c>
      <c r="E169" s="5">
        <f>IFERROR(__xludf.DUMMYFUNCTION("""COMPUTED_VALUE"""),330.53)</f>
        <v>330.53</v>
      </c>
      <c r="F169" s="5">
        <f>IFERROR(__xludf.DUMMYFUNCTION("""COMPUTED_VALUE"""),7.6052321E7)</f>
        <v>76052321</v>
      </c>
    </row>
    <row r="170">
      <c r="A170" s="7">
        <f>IFERROR(__xludf.DUMMYFUNCTION("""COMPUTED_VALUE"""),45713.66666666667)</f>
        <v>45713.66667</v>
      </c>
      <c r="B170" s="5">
        <f>IFERROR(__xludf.DUMMYFUNCTION("""COMPUTED_VALUE"""),327.02)</f>
        <v>327.02</v>
      </c>
      <c r="C170" s="5">
        <f>IFERROR(__xludf.DUMMYFUNCTION("""COMPUTED_VALUE"""),328.89)</f>
        <v>328.89</v>
      </c>
      <c r="D170" s="5">
        <f>IFERROR(__xludf.DUMMYFUNCTION("""COMPUTED_VALUE"""),297.25)</f>
        <v>297.25</v>
      </c>
      <c r="E170" s="5">
        <f>IFERROR(__xludf.DUMMYFUNCTION("""COMPUTED_VALUE"""),302.8)</f>
        <v>302.8</v>
      </c>
      <c r="F170" s="5">
        <f>IFERROR(__xludf.DUMMYFUNCTION("""COMPUTED_VALUE"""),1.34228777E8)</f>
        <v>134228777</v>
      </c>
    </row>
    <row r="171">
      <c r="A171" s="7">
        <f>IFERROR(__xludf.DUMMYFUNCTION("""COMPUTED_VALUE"""),45714.66666666667)</f>
        <v>45714.66667</v>
      </c>
      <c r="B171" s="5">
        <f>IFERROR(__xludf.DUMMYFUNCTION("""COMPUTED_VALUE"""),303.71)</f>
        <v>303.71</v>
      </c>
      <c r="C171" s="5">
        <f>IFERROR(__xludf.DUMMYFUNCTION("""COMPUTED_VALUE"""),309.0)</f>
        <v>309</v>
      </c>
      <c r="D171" s="5">
        <f>IFERROR(__xludf.DUMMYFUNCTION("""COMPUTED_VALUE"""),288.04)</f>
        <v>288.04</v>
      </c>
      <c r="E171" s="5">
        <f>IFERROR(__xludf.DUMMYFUNCTION("""COMPUTED_VALUE"""),290.8)</f>
        <v>290.8</v>
      </c>
      <c r="F171" s="5">
        <f>IFERROR(__xludf.DUMMYFUNCTION("""COMPUTED_VALUE"""),1.00118276E8)</f>
        <v>100118276</v>
      </c>
    </row>
    <row r="172">
      <c r="A172" s="7">
        <f>IFERROR(__xludf.DUMMYFUNCTION("""COMPUTED_VALUE"""),45715.66666666667)</f>
        <v>45715.66667</v>
      </c>
      <c r="B172" s="5">
        <f>IFERROR(__xludf.DUMMYFUNCTION("""COMPUTED_VALUE"""),291.16)</f>
        <v>291.16</v>
      </c>
      <c r="C172" s="5">
        <f>IFERROR(__xludf.DUMMYFUNCTION("""COMPUTED_VALUE"""),297.23)</f>
        <v>297.23</v>
      </c>
      <c r="D172" s="5">
        <f>IFERROR(__xludf.DUMMYFUNCTION("""COMPUTED_VALUE"""),280.88)</f>
        <v>280.88</v>
      </c>
      <c r="E172" s="5">
        <f>IFERROR(__xludf.DUMMYFUNCTION("""COMPUTED_VALUE"""),281.95)</f>
        <v>281.95</v>
      </c>
      <c r="F172" s="5">
        <f>IFERROR(__xludf.DUMMYFUNCTION("""COMPUTED_VALUE"""),1.01748197E8)</f>
        <v>101748197</v>
      </c>
    </row>
    <row r="173">
      <c r="A173" s="7">
        <f>IFERROR(__xludf.DUMMYFUNCTION("""COMPUTED_VALUE"""),45716.66666666667)</f>
        <v>45716.66667</v>
      </c>
      <c r="B173" s="5">
        <f>IFERROR(__xludf.DUMMYFUNCTION("""COMPUTED_VALUE"""),279.5)</f>
        <v>279.5</v>
      </c>
      <c r="C173" s="5">
        <f>IFERROR(__xludf.DUMMYFUNCTION("""COMPUTED_VALUE"""),293.88)</f>
        <v>293.88</v>
      </c>
      <c r="D173" s="5">
        <f>IFERROR(__xludf.DUMMYFUNCTION("""COMPUTED_VALUE"""),273.6)</f>
        <v>273.6</v>
      </c>
      <c r="E173" s="5">
        <f>IFERROR(__xludf.DUMMYFUNCTION("""COMPUTED_VALUE"""),292.98)</f>
        <v>292.98</v>
      </c>
      <c r="F173" s="5">
        <f>IFERROR(__xludf.DUMMYFUNCTION("""COMPUTED_VALUE"""),1.15696968E8)</f>
        <v>115696968</v>
      </c>
    </row>
    <row r="174">
      <c r="A174" s="7">
        <f>IFERROR(__xludf.DUMMYFUNCTION("""COMPUTED_VALUE"""),45719.66666666667)</f>
        <v>45719.66667</v>
      </c>
      <c r="B174" s="5">
        <f>IFERROR(__xludf.DUMMYFUNCTION("""COMPUTED_VALUE"""),300.34)</f>
        <v>300.34</v>
      </c>
      <c r="C174" s="5">
        <f>IFERROR(__xludf.DUMMYFUNCTION("""COMPUTED_VALUE"""),303.94)</f>
        <v>303.94</v>
      </c>
      <c r="D174" s="5">
        <f>IFERROR(__xludf.DUMMYFUNCTION("""COMPUTED_VALUE"""),277.3)</f>
        <v>277.3</v>
      </c>
      <c r="E174" s="5">
        <f>IFERROR(__xludf.DUMMYFUNCTION("""COMPUTED_VALUE"""),284.65)</f>
        <v>284.65</v>
      </c>
      <c r="F174" s="5">
        <f>IFERROR(__xludf.DUMMYFUNCTION("""COMPUTED_VALUE"""),1.15551414E8)</f>
        <v>115551414</v>
      </c>
    </row>
    <row r="175">
      <c r="A175" s="7">
        <f>IFERROR(__xludf.DUMMYFUNCTION("""COMPUTED_VALUE"""),45720.66666666667)</f>
        <v>45720.66667</v>
      </c>
      <c r="B175" s="5">
        <f>IFERROR(__xludf.DUMMYFUNCTION("""COMPUTED_VALUE"""),270.93)</f>
        <v>270.93</v>
      </c>
      <c r="C175" s="5">
        <f>IFERROR(__xludf.DUMMYFUNCTION("""COMPUTED_VALUE"""),284.35)</f>
        <v>284.35</v>
      </c>
      <c r="D175" s="5">
        <f>IFERROR(__xludf.DUMMYFUNCTION("""COMPUTED_VALUE"""),261.84)</f>
        <v>261.84</v>
      </c>
      <c r="E175" s="5">
        <f>IFERROR(__xludf.DUMMYFUNCTION("""COMPUTED_VALUE"""),272.04)</f>
        <v>272.04</v>
      </c>
      <c r="F175" s="5">
        <f>IFERROR(__xludf.DUMMYFUNCTION("""COMPUTED_VALUE"""),1.26706623E8)</f>
        <v>126706623</v>
      </c>
    </row>
    <row r="176">
      <c r="A176" s="7">
        <f>IFERROR(__xludf.DUMMYFUNCTION("""COMPUTED_VALUE"""),45721.66666666667)</f>
        <v>45721.66667</v>
      </c>
      <c r="B176" s="5">
        <f>IFERROR(__xludf.DUMMYFUNCTION("""COMPUTED_VALUE"""),272.92)</f>
        <v>272.92</v>
      </c>
      <c r="C176" s="5">
        <f>IFERROR(__xludf.DUMMYFUNCTION("""COMPUTED_VALUE"""),279.55)</f>
        <v>279.55</v>
      </c>
      <c r="D176" s="5">
        <f>IFERROR(__xludf.DUMMYFUNCTION("""COMPUTED_VALUE"""),267.71)</f>
        <v>267.71</v>
      </c>
      <c r="E176" s="5">
        <f>IFERROR(__xludf.DUMMYFUNCTION("""COMPUTED_VALUE"""),279.1)</f>
        <v>279.1</v>
      </c>
      <c r="F176" s="5">
        <f>IFERROR(__xludf.DUMMYFUNCTION("""COMPUTED_VALUE"""),9.4042913E7)</f>
        <v>94042913</v>
      </c>
    </row>
    <row r="177">
      <c r="A177" s="7">
        <f>IFERROR(__xludf.DUMMYFUNCTION("""COMPUTED_VALUE"""),45722.66666666667)</f>
        <v>45722.66667</v>
      </c>
      <c r="B177" s="5">
        <f>IFERROR(__xludf.DUMMYFUNCTION("""COMPUTED_VALUE"""),272.06)</f>
        <v>272.06</v>
      </c>
      <c r="C177" s="5">
        <f>IFERROR(__xludf.DUMMYFUNCTION("""COMPUTED_VALUE"""),272.65)</f>
        <v>272.65</v>
      </c>
      <c r="D177" s="5">
        <f>IFERROR(__xludf.DUMMYFUNCTION("""COMPUTED_VALUE"""),260.02)</f>
        <v>260.02</v>
      </c>
      <c r="E177" s="5">
        <f>IFERROR(__xludf.DUMMYFUNCTION("""COMPUTED_VALUE"""),263.45)</f>
        <v>263.45</v>
      </c>
      <c r="F177" s="5">
        <f>IFERROR(__xludf.DUMMYFUNCTION("""COMPUTED_VALUE"""),9.8451566E7)</f>
        <v>98451566</v>
      </c>
    </row>
    <row r="178">
      <c r="A178" s="7">
        <f>IFERROR(__xludf.DUMMYFUNCTION("""COMPUTED_VALUE"""),45723.66666666667)</f>
        <v>45723.66667</v>
      </c>
      <c r="B178" s="5">
        <f>IFERROR(__xludf.DUMMYFUNCTION("""COMPUTED_VALUE"""),259.32)</f>
        <v>259.32</v>
      </c>
      <c r="C178" s="5">
        <f>IFERROR(__xludf.DUMMYFUNCTION("""COMPUTED_VALUE"""),266.25)</f>
        <v>266.25</v>
      </c>
      <c r="D178" s="5">
        <f>IFERROR(__xludf.DUMMYFUNCTION("""COMPUTED_VALUE"""),250.73)</f>
        <v>250.73</v>
      </c>
      <c r="E178" s="5">
        <f>IFERROR(__xludf.DUMMYFUNCTION("""COMPUTED_VALUE"""),262.67)</f>
        <v>262.67</v>
      </c>
      <c r="F178" s="5">
        <f>IFERROR(__xludf.DUMMYFUNCTION("""COMPUTED_VALUE"""),1.0236964E8)</f>
        <v>102369640</v>
      </c>
    </row>
    <row r="179">
      <c r="A179" s="7">
        <f>IFERROR(__xludf.DUMMYFUNCTION("""COMPUTED_VALUE"""),45726.66666666667)</f>
        <v>45726.66667</v>
      </c>
      <c r="B179" s="5">
        <f>IFERROR(__xludf.DUMMYFUNCTION("""COMPUTED_VALUE"""),252.54)</f>
        <v>252.54</v>
      </c>
      <c r="C179" s="5">
        <f>IFERROR(__xludf.DUMMYFUNCTION("""COMPUTED_VALUE"""),253.37)</f>
        <v>253.37</v>
      </c>
      <c r="D179" s="5">
        <f>IFERROR(__xludf.DUMMYFUNCTION("""COMPUTED_VALUE"""),220.0)</f>
        <v>220</v>
      </c>
      <c r="E179" s="5">
        <f>IFERROR(__xludf.DUMMYFUNCTION("""COMPUTED_VALUE"""),222.15)</f>
        <v>222.15</v>
      </c>
      <c r="F179" s="5">
        <f>IFERROR(__xludf.DUMMYFUNCTION("""COMPUTED_VALUE"""),1.89076948E8)</f>
        <v>189076948</v>
      </c>
    </row>
    <row r="180">
      <c r="A180" s="7">
        <f>IFERROR(__xludf.DUMMYFUNCTION("""COMPUTED_VALUE"""),45727.66666666667)</f>
        <v>45727.66667</v>
      </c>
      <c r="B180" s="5">
        <f>IFERROR(__xludf.DUMMYFUNCTION("""COMPUTED_VALUE"""),225.31)</f>
        <v>225.31</v>
      </c>
      <c r="C180" s="5">
        <f>IFERROR(__xludf.DUMMYFUNCTION("""COMPUTED_VALUE"""),237.06)</f>
        <v>237.06</v>
      </c>
      <c r="D180" s="5">
        <f>IFERROR(__xludf.DUMMYFUNCTION("""COMPUTED_VALUE"""),217.02)</f>
        <v>217.02</v>
      </c>
      <c r="E180" s="5">
        <f>IFERROR(__xludf.DUMMYFUNCTION("""COMPUTED_VALUE"""),230.58)</f>
        <v>230.58</v>
      </c>
      <c r="F180" s="5">
        <f>IFERROR(__xludf.DUMMYFUNCTION("""COMPUTED_VALUE"""),1.74896415E8)</f>
        <v>174896415</v>
      </c>
    </row>
    <row r="181">
      <c r="A181" s="7">
        <f>IFERROR(__xludf.DUMMYFUNCTION("""COMPUTED_VALUE"""),45728.66666666667)</f>
        <v>45728.66667</v>
      </c>
      <c r="B181" s="5">
        <f>IFERROR(__xludf.DUMMYFUNCTION("""COMPUTED_VALUE"""),247.22)</f>
        <v>247.22</v>
      </c>
      <c r="C181" s="5">
        <f>IFERROR(__xludf.DUMMYFUNCTION("""COMPUTED_VALUE"""),251.84)</f>
        <v>251.84</v>
      </c>
      <c r="D181" s="5">
        <f>IFERROR(__xludf.DUMMYFUNCTION("""COMPUTED_VALUE"""),241.1)</f>
        <v>241.1</v>
      </c>
      <c r="E181" s="5">
        <f>IFERROR(__xludf.DUMMYFUNCTION("""COMPUTED_VALUE"""),248.09)</f>
        <v>248.09</v>
      </c>
      <c r="F181" s="5">
        <f>IFERROR(__xludf.DUMMYFUNCTION("""COMPUTED_VALUE"""),1.42215681E8)</f>
        <v>142215681</v>
      </c>
    </row>
    <row r="182">
      <c r="A182" s="7">
        <f>IFERROR(__xludf.DUMMYFUNCTION("""COMPUTED_VALUE"""),45729.66666666667)</f>
        <v>45729.66667</v>
      </c>
      <c r="B182" s="5">
        <f>IFERROR(__xludf.DUMMYFUNCTION("""COMPUTED_VALUE"""),248.13)</f>
        <v>248.13</v>
      </c>
      <c r="C182" s="5">
        <f>IFERROR(__xludf.DUMMYFUNCTION("""COMPUTED_VALUE"""),248.29)</f>
        <v>248.29</v>
      </c>
      <c r="D182" s="5">
        <f>IFERROR(__xludf.DUMMYFUNCTION("""COMPUTED_VALUE"""),232.6)</f>
        <v>232.6</v>
      </c>
      <c r="E182" s="5">
        <f>IFERROR(__xludf.DUMMYFUNCTION("""COMPUTED_VALUE"""),240.68)</f>
        <v>240.68</v>
      </c>
      <c r="F182" s="5">
        <f>IFERROR(__xludf.DUMMYFUNCTION("""COMPUTED_VALUE"""),1.14813525E8)</f>
        <v>114813525</v>
      </c>
    </row>
    <row r="183">
      <c r="A183" s="7">
        <f>IFERROR(__xludf.DUMMYFUNCTION("""COMPUTED_VALUE"""),45730.66666666667)</f>
        <v>45730.66667</v>
      </c>
      <c r="B183" s="5">
        <f>IFERROR(__xludf.DUMMYFUNCTION("""COMPUTED_VALUE"""),247.31)</f>
        <v>247.31</v>
      </c>
      <c r="C183" s="5">
        <f>IFERROR(__xludf.DUMMYFUNCTION("""COMPUTED_VALUE"""),251.58)</f>
        <v>251.58</v>
      </c>
      <c r="D183" s="5">
        <f>IFERROR(__xludf.DUMMYFUNCTION("""COMPUTED_VALUE"""),240.73)</f>
        <v>240.73</v>
      </c>
      <c r="E183" s="5">
        <f>IFERROR(__xludf.DUMMYFUNCTION("""COMPUTED_VALUE"""),249.98)</f>
        <v>249.98</v>
      </c>
      <c r="F183" s="5">
        <f>IFERROR(__xludf.DUMMYFUNCTION("""COMPUTED_VALUE"""),1.00242264E8)</f>
        <v>100242264</v>
      </c>
    </row>
    <row r="184">
      <c r="A184" s="7">
        <f>IFERROR(__xludf.DUMMYFUNCTION("""COMPUTED_VALUE"""),45733.66666666667)</f>
        <v>45733.66667</v>
      </c>
      <c r="B184" s="5">
        <f>IFERROR(__xludf.DUMMYFUNCTION("""COMPUTED_VALUE"""),245.06)</f>
        <v>245.06</v>
      </c>
      <c r="C184" s="5">
        <f>IFERROR(__xludf.DUMMYFUNCTION("""COMPUTED_VALUE"""),245.4)</f>
        <v>245.4</v>
      </c>
      <c r="D184" s="5">
        <f>IFERROR(__xludf.DUMMYFUNCTION("""COMPUTED_VALUE"""),232.8)</f>
        <v>232.8</v>
      </c>
      <c r="E184" s="5">
        <f>IFERROR(__xludf.DUMMYFUNCTION("""COMPUTED_VALUE"""),238.01)</f>
        <v>238.01</v>
      </c>
      <c r="F184" s="5">
        <f>IFERROR(__xludf.DUMMYFUNCTION("""COMPUTED_VALUE"""),1.11900565E8)</f>
        <v>111900565</v>
      </c>
    </row>
    <row r="185">
      <c r="A185" s="7">
        <f>IFERROR(__xludf.DUMMYFUNCTION("""COMPUTED_VALUE"""),45734.66666666667)</f>
        <v>45734.66667</v>
      </c>
      <c r="B185" s="5">
        <f>IFERROR(__xludf.DUMMYFUNCTION("""COMPUTED_VALUE"""),228.16)</f>
        <v>228.16</v>
      </c>
      <c r="C185" s="5">
        <f>IFERROR(__xludf.DUMMYFUNCTION("""COMPUTED_VALUE"""),230.1)</f>
        <v>230.1</v>
      </c>
      <c r="D185" s="5">
        <f>IFERROR(__xludf.DUMMYFUNCTION("""COMPUTED_VALUE"""),222.28)</f>
        <v>222.28</v>
      </c>
      <c r="E185" s="5">
        <f>IFERROR(__xludf.DUMMYFUNCTION("""COMPUTED_VALUE"""),225.31)</f>
        <v>225.31</v>
      </c>
      <c r="F185" s="5">
        <f>IFERROR(__xludf.DUMMYFUNCTION("""COMPUTED_VALUE"""),1.11477636E8)</f>
        <v>111477636</v>
      </c>
    </row>
    <row r="186">
      <c r="A186" s="7">
        <f>IFERROR(__xludf.DUMMYFUNCTION("""COMPUTED_VALUE"""),45735.66666666667)</f>
        <v>45735.66667</v>
      </c>
      <c r="B186" s="5">
        <f>IFERROR(__xludf.DUMMYFUNCTION("""COMPUTED_VALUE"""),231.61)</f>
        <v>231.61</v>
      </c>
      <c r="C186" s="5">
        <f>IFERROR(__xludf.DUMMYFUNCTION("""COMPUTED_VALUE"""),241.41)</f>
        <v>241.41</v>
      </c>
      <c r="D186" s="5">
        <f>IFERROR(__xludf.DUMMYFUNCTION("""COMPUTED_VALUE"""),229.2)</f>
        <v>229.2</v>
      </c>
      <c r="E186" s="5">
        <f>IFERROR(__xludf.DUMMYFUNCTION("""COMPUTED_VALUE"""),235.86)</f>
        <v>235.86</v>
      </c>
      <c r="F186" s="5">
        <f>IFERROR(__xludf.DUMMYFUNCTION("""COMPUTED_VALUE"""),1.11993753E8)</f>
        <v>111993753</v>
      </c>
    </row>
    <row r="187">
      <c r="A187" s="7">
        <f>IFERROR(__xludf.DUMMYFUNCTION("""COMPUTED_VALUE"""),45736.66666666667)</f>
        <v>45736.66667</v>
      </c>
      <c r="B187" s="5">
        <f>IFERROR(__xludf.DUMMYFUNCTION("""COMPUTED_VALUE"""),233.35)</f>
        <v>233.35</v>
      </c>
      <c r="C187" s="5">
        <f>IFERROR(__xludf.DUMMYFUNCTION("""COMPUTED_VALUE"""),238.0)</f>
        <v>238</v>
      </c>
      <c r="D187" s="5">
        <f>IFERROR(__xludf.DUMMYFUNCTION("""COMPUTED_VALUE"""),230.05)</f>
        <v>230.05</v>
      </c>
      <c r="E187" s="5">
        <f>IFERROR(__xludf.DUMMYFUNCTION("""COMPUTED_VALUE"""),236.26)</f>
        <v>236.26</v>
      </c>
      <c r="F187" s="5">
        <f>IFERROR(__xludf.DUMMYFUNCTION("""COMPUTED_VALUE"""),9.902827E7)</f>
        <v>99028270</v>
      </c>
    </row>
    <row r="188">
      <c r="A188" s="7">
        <f>IFERROR(__xludf.DUMMYFUNCTION("""COMPUTED_VALUE"""),45737.66666666667)</f>
        <v>45737.66667</v>
      </c>
      <c r="B188" s="5">
        <f>IFERROR(__xludf.DUMMYFUNCTION("""COMPUTED_VALUE"""),234.99)</f>
        <v>234.99</v>
      </c>
      <c r="C188" s="5">
        <f>IFERROR(__xludf.DUMMYFUNCTION("""COMPUTED_VALUE"""),249.52)</f>
        <v>249.52</v>
      </c>
      <c r="D188" s="5">
        <f>IFERROR(__xludf.DUMMYFUNCTION("""COMPUTED_VALUE"""),234.55)</f>
        <v>234.55</v>
      </c>
      <c r="E188" s="5">
        <f>IFERROR(__xludf.DUMMYFUNCTION("""COMPUTED_VALUE"""),248.71)</f>
        <v>248.71</v>
      </c>
      <c r="F188" s="5">
        <f>IFERROR(__xludf.DUMMYFUNCTION("""COMPUTED_VALUE"""),1.32728684E8)</f>
        <v>132728684</v>
      </c>
    </row>
    <row r="189">
      <c r="A189" s="7">
        <f>IFERROR(__xludf.DUMMYFUNCTION("""COMPUTED_VALUE"""),45740.66666666667)</f>
        <v>45740.66667</v>
      </c>
      <c r="B189" s="5">
        <f>IFERROR(__xludf.DUMMYFUNCTION("""COMPUTED_VALUE"""),258.08)</f>
        <v>258.08</v>
      </c>
      <c r="C189" s="5">
        <f>IFERROR(__xludf.DUMMYFUNCTION("""COMPUTED_VALUE"""),278.64)</f>
        <v>278.64</v>
      </c>
      <c r="D189" s="5">
        <f>IFERROR(__xludf.DUMMYFUNCTION("""COMPUTED_VALUE"""),256.33)</f>
        <v>256.33</v>
      </c>
      <c r="E189" s="5">
        <f>IFERROR(__xludf.DUMMYFUNCTION("""COMPUTED_VALUE"""),278.39)</f>
        <v>278.39</v>
      </c>
      <c r="F189" s="5">
        <f>IFERROR(__xludf.DUMMYFUNCTION("""COMPUTED_VALUE"""),1.69079865E8)</f>
        <v>169079865</v>
      </c>
    </row>
    <row r="190">
      <c r="A190" s="7">
        <f>IFERROR(__xludf.DUMMYFUNCTION("""COMPUTED_VALUE"""),45741.66666666667)</f>
        <v>45741.66667</v>
      </c>
      <c r="B190" s="5">
        <f>IFERROR(__xludf.DUMMYFUNCTION("""COMPUTED_VALUE"""),283.6)</f>
        <v>283.6</v>
      </c>
      <c r="C190" s="5">
        <f>IFERROR(__xludf.DUMMYFUNCTION("""COMPUTED_VALUE"""),288.2)</f>
        <v>288.2</v>
      </c>
      <c r="D190" s="5">
        <f>IFERROR(__xludf.DUMMYFUNCTION("""COMPUTED_VALUE"""),271.28)</f>
        <v>271.28</v>
      </c>
      <c r="E190" s="5">
        <f>IFERROR(__xludf.DUMMYFUNCTION("""COMPUTED_VALUE"""),288.14)</f>
        <v>288.14</v>
      </c>
      <c r="F190" s="5">
        <f>IFERROR(__xludf.DUMMYFUNCTION("""COMPUTED_VALUE"""),1.50361538E8)</f>
        <v>150361538</v>
      </c>
    </row>
    <row r="191">
      <c r="A191" s="7">
        <f>IFERROR(__xludf.DUMMYFUNCTION("""COMPUTED_VALUE"""),45742.66666666667)</f>
        <v>45742.66667</v>
      </c>
      <c r="B191" s="5">
        <f>IFERROR(__xludf.DUMMYFUNCTION("""COMPUTED_VALUE"""),282.66)</f>
        <v>282.66</v>
      </c>
      <c r="C191" s="5">
        <f>IFERROR(__xludf.DUMMYFUNCTION("""COMPUTED_VALUE"""),284.9)</f>
        <v>284.9</v>
      </c>
      <c r="D191" s="5">
        <f>IFERROR(__xludf.DUMMYFUNCTION("""COMPUTED_VALUE"""),266.51)</f>
        <v>266.51</v>
      </c>
      <c r="E191" s="5">
        <f>IFERROR(__xludf.DUMMYFUNCTION("""COMPUTED_VALUE"""),272.06)</f>
        <v>272.06</v>
      </c>
      <c r="F191" s="5">
        <f>IFERROR(__xludf.DUMMYFUNCTION("""COMPUTED_VALUE"""),1.56254441E8)</f>
        <v>156254441</v>
      </c>
    </row>
    <row r="192">
      <c r="A192" s="7">
        <f>IFERROR(__xludf.DUMMYFUNCTION("""COMPUTED_VALUE"""),45743.66666666667)</f>
        <v>45743.66667</v>
      </c>
      <c r="B192" s="5">
        <f>IFERROR(__xludf.DUMMYFUNCTION("""COMPUTED_VALUE"""),272.48)</f>
        <v>272.48</v>
      </c>
      <c r="C192" s="5">
        <f>IFERROR(__xludf.DUMMYFUNCTION("""COMPUTED_VALUE"""),291.85)</f>
        <v>291.85</v>
      </c>
      <c r="D192" s="5">
        <f>IFERROR(__xludf.DUMMYFUNCTION("""COMPUTED_VALUE"""),271.82)</f>
        <v>271.82</v>
      </c>
      <c r="E192" s="5">
        <f>IFERROR(__xludf.DUMMYFUNCTION("""COMPUTED_VALUE"""),273.13)</f>
        <v>273.13</v>
      </c>
      <c r="F192" s="5">
        <f>IFERROR(__xludf.DUMMYFUNCTION("""COMPUTED_VALUE"""),1.62572146E8)</f>
        <v>162572146</v>
      </c>
    </row>
    <row r="193">
      <c r="A193" s="7">
        <f>IFERROR(__xludf.DUMMYFUNCTION("""COMPUTED_VALUE"""),45744.66666666667)</f>
        <v>45744.66667</v>
      </c>
      <c r="B193" s="5">
        <f>IFERROR(__xludf.DUMMYFUNCTION("""COMPUTED_VALUE"""),275.58)</f>
        <v>275.58</v>
      </c>
      <c r="C193" s="5">
        <f>IFERROR(__xludf.DUMMYFUNCTION("""COMPUTED_VALUE"""),276.1)</f>
        <v>276.1</v>
      </c>
      <c r="D193" s="5">
        <f>IFERROR(__xludf.DUMMYFUNCTION("""COMPUTED_VALUE"""),260.57)</f>
        <v>260.57</v>
      </c>
      <c r="E193" s="5">
        <f>IFERROR(__xludf.DUMMYFUNCTION("""COMPUTED_VALUE"""),263.55)</f>
        <v>263.55</v>
      </c>
      <c r="F193" s="5">
        <f>IFERROR(__xludf.DUMMYFUNCTION("""COMPUTED_VALUE"""),1.23809389E8)</f>
        <v>123809389</v>
      </c>
    </row>
    <row r="194">
      <c r="A194" s="7">
        <f>IFERROR(__xludf.DUMMYFUNCTION("""COMPUTED_VALUE"""),45747.66666666667)</f>
        <v>45747.66667</v>
      </c>
      <c r="B194" s="5">
        <f>IFERROR(__xludf.DUMMYFUNCTION("""COMPUTED_VALUE"""),249.31)</f>
        <v>249.31</v>
      </c>
      <c r="C194" s="5">
        <f>IFERROR(__xludf.DUMMYFUNCTION("""COMPUTED_VALUE"""),260.56)</f>
        <v>260.56</v>
      </c>
      <c r="D194" s="5">
        <f>IFERROR(__xludf.DUMMYFUNCTION("""COMPUTED_VALUE"""),243.36)</f>
        <v>243.36</v>
      </c>
      <c r="E194" s="5">
        <f>IFERROR(__xludf.DUMMYFUNCTION("""COMPUTED_VALUE"""),259.16)</f>
        <v>259.16</v>
      </c>
      <c r="F194" s="5">
        <f>IFERROR(__xludf.DUMMYFUNCTION("""COMPUTED_VALUE"""),1.34008936E8)</f>
        <v>134008936</v>
      </c>
    </row>
    <row r="195">
      <c r="A195" s="7">
        <f>IFERROR(__xludf.DUMMYFUNCTION("""COMPUTED_VALUE"""),45748.66666666667)</f>
        <v>45748.66667</v>
      </c>
      <c r="B195" s="5">
        <f>IFERROR(__xludf.DUMMYFUNCTION("""COMPUTED_VALUE"""),263.8)</f>
        <v>263.8</v>
      </c>
      <c r="C195" s="5">
        <f>IFERROR(__xludf.DUMMYFUNCTION("""COMPUTED_VALUE"""),277.45)</f>
        <v>277.45</v>
      </c>
      <c r="D195" s="5">
        <f>IFERROR(__xludf.DUMMYFUNCTION("""COMPUTED_VALUE"""),259.25)</f>
        <v>259.25</v>
      </c>
      <c r="E195" s="5">
        <f>IFERROR(__xludf.DUMMYFUNCTION("""COMPUTED_VALUE"""),268.46)</f>
        <v>268.46</v>
      </c>
      <c r="F195" s="5">
        <f>IFERROR(__xludf.DUMMYFUNCTION("""COMPUTED_VALUE"""),1.46486911E8)</f>
        <v>146486911</v>
      </c>
    </row>
    <row r="196">
      <c r="A196" s="7">
        <f>IFERROR(__xludf.DUMMYFUNCTION("""COMPUTED_VALUE"""),45749.66666666667)</f>
        <v>45749.66667</v>
      </c>
      <c r="B196" s="5">
        <f>IFERROR(__xludf.DUMMYFUNCTION("""COMPUTED_VALUE"""),254.6)</f>
        <v>254.6</v>
      </c>
      <c r="C196" s="5">
        <f>IFERROR(__xludf.DUMMYFUNCTION("""COMPUTED_VALUE"""),284.99)</f>
        <v>284.99</v>
      </c>
      <c r="D196" s="5">
        <f>IFERROR(__xludf.DUMMYFUNCTION("""COMPUTED_VALUE"""),251.27)</f>
        <v>251.27</v>
      </c>
      <c r="E196" s="5">
        <f>IFERROR(__xludf.DUMMYFUNCTION("""COMPUTED_VALUE"""),282.76)</f>
        <v>282.76</v>
      </c>
      <c r="F196" s="5">
        <f>IFERROR(__xludf.DUMMYFUNCTION("""COMPUTED_VALUE"""),2.12787817E8)</f>
        <v>212787817</v>
      </c>
    </row>
    <row r="197">
      <c r="A197" s="7">
        <f>IFERROR(__xludf.DUMMYFUNCTION("""COMPUTED_VALUE"""),45750.66666666667)</f>
        <v>45750.66667</v>
      </c>
      <c r="B197" s="5">
        <f>IFERROR(__xludf.DUMMYFUNCTION("""COMPUTED_VALUE"""),265.29)</f>
        <v>265.29</v>
      </c>
      <c r="C197" s="5">
        <f>IFERROR(__xludf.DUMMYFUNCTION("""COMPUTED_VALUE"""),276.3)</f>
        <v>276.3</v>
      </c>
      <c r="D197" s="5">
        <f>IFERROR(__xludf.DUMMYFUNCTION("""COMPUTED_VALUE"""),261.51)</f>
        <v>261.51</v>
      </c>
      <c r="E197" s="5">
        <f>IFERROR(__xludf.DUMMYFUNCTION("""COMPUTED_VALUE"""),267.28)</f>
        <v>267.28</v>
      </c>
      <c r="F197" s="5">
        <f>IFERROR(__xludf.DUMMYFUNCTION("""COMPUTED_VALUE"""),1.36174291E8)</f>
        <v>136174291</v>
      </c>
    </row>
    <row r="198">
      <c r="A198" s="7">
        <f>IFERROR(__xludf.DUMMYFUNCTION("""COMPUTED_VALUE"""),45751.66666666667)</f>
        <v>45751.66667</v>
      </c>
      <c r="B198" s="5">
        <f>IFERROR(__xludf.DUMMYFUNCTION("""COMPUTED_VALUE"""),255.38)</f>
        <v>255.38</v>
      </c>
      <c r="C198" s="5">
        <f>IFERROR(__xludf.DUMMYFUNCTION("""COMPUTED_VALUE"""),261.0)</f>
        <v>261</v>
      </c>
      <c r="D198" s="5">
        <f>IFERROR(__xludf.DUMMYFUNCTION("""COMPUTED_VALUE"""),236.0)</f>
        <v>236</v>
      </c>
      <c r="E198" s="5">
        <f>IFERROR(__xludf.DUMMYFUNCTION("""COMPUTED_VALUE"""),239.43)</f>
        <v>239.43</v>
      </c>
      <c r="F198" s="5">
        <f>IFERROR(__xludf.DUMMYFUNCTION("""COMPUTED_VALUE"""),1.81229353E8)</f>
        <v>181229353</v>
      </c>
    </row>
    <row r="199">
      <c r="A199" s="7">
        <f>IFERROR(__xludf.DUMMYFUNCTION("""COMPUTED_VALUE"""),45754.66666666667)</f>
        <v>45754.66667</v>
      </c>
      <c r="B199" s="5">
        <f>IFERROR(__xludf.DUMMYFUNCTION("""COMPUTED_VALUE"""),223.78)</f>
        <v>223.78</v>
      </c>
      <c r="C199" s="5">
        <f>IFERROR(__xludf.DUMMYFUNCTION("""COMPUTED_VALUE"""),252.0)</f>
        <v>252</v>
      </c>
      <c r="D199" s="5">
        <f>IFERROR(__xludf.DUMMYFUNCTION("""COMPUTED_VALUE"""),214.25)</f>
        <v>214.25</v>
      </c>
      <c r="E199" s="5">
        <f>IFERROR(__xludf.DUMMYFUNCTION("""COMPUTED_VALUE"""),233.29)</f>
        <v>233.29</v>
      </c>
      <c r="F199" s="5">
        <f>IFERROR(__xludf.DUMMYFUNCTION("""COMPUTED_VALUE"""),1.83453776E8)</f>
        <v>183453776</v>
      </c>
    </row>
    <row r="200">
      <c r="A200" s="7">
        <f>IFERROR(__xludf.DUMMYFUNCTION("""COMPUTED_VALUE"""),45755.66666666667)</f>
        <v>45755.66667</v>
      </c>
      <c r="B200" s="5">
        <f>IFERROR(__xludf.DUMMYFUNCTION("""COMPUTED_VALUE"""),245.0)</f>
        <v>245</v>
      </c>
      <c r="C200" s="5">
        <f>IFERROR(__xludf.DUMMYFUNCTION("""COMPUTED_VALUE"""),250.44)</f>
        <v>250.44</v>
      </c>
      <c r="D200" s="5">
        <f>IFERROR(__xludf.DUMMYFUNCTION("""COMPUTED_VALUE"""),217.8)</f>
        <v>217.8</v>
      </c>
      <c r="E200" s="5">
        <f>IFERROR(__xludf.DUMMYFUNCTION("""COMPUTED_VALUE"""),221.86)</f>
        <v>221.86</v>
      </c>
      <c r="F200" s="5">
        <f>IFERROR(__xludf.DUMMYFUNCTION("""COMPUTED_VALUE"""),1.71603472E8)</f>
        <v>171603472</v>
      </c>
    </row>
    <row r="201">
      <c r="A201" s="7">
        <f>IFERROR(__xludf.DUMMYFUNCTION("""COMPUTED_VALUE"""),45756.66666666667)</f>
        <v>45756.66667</v>
      </c>
      <c r="B201" s="5">
        <f>IFERROR(__xludf.DUMMYFUNCTION("""COMPUTED_VALUE"""),224.69)</f>
        <v>224.69</v>
      </c>
      <c r="C201" s="5">
        <f>IFERROR(__xludf.DUMMYFUNCTION("""COMPUTED_VALUE"""),274.69)</f>
        <v>274.69</v>
      </c>
      <c r="D201" s="5">
        <f>IFERROR(__xludf.DUMMYFUNCTION("""COMPUTED_VALUE"""),223.88)</f>
        <v>223.88</v>
      </c>
      <c r="E201" s="5">
        <f>IFERROR(__xludf.DUMMYFUNCTION("""COMPUTED_VALUE"""),272.2)</f>
        <v>272.2</v>
      </c>
      <c r="F201" s="5">
        <f>IFERROR(__xludf.DUMMYFUNCTION("""COMPUTED_VALUE"""),2.19433373E8)</f>
        <v>219433373</v>
      </c>
    </row>
    <row r="202">
      <c r="A202" s="7">
        <f>IFERROR(__xludf.DUMMYFUNCTION("""COMPUTED_VALUE"""),45757.66666666667)</f>
        <v>45757.66667</v>
      </c>
      <c r="B202" s="5">
        <f>IFERROR(__xludf.DUMMYFUNCTION("""COMPUTED_VALUE"""),260.0)</f>
        <v>260</v>
      </c>
      <c r="C202" s="5">
        <f>IFERROR(__xludf.DUMMYFUNCTION("""COMPUTED_VALUE"""),262.49)</f>
        <v>262.49</v>
      </c>
      <c r="D202" s="5">
        <f>IFERROR(__xludf.DUMMYFUNCTION("""COMPUTED_VALUE"""),239.33)</f>
        <v>239.33</v>
      </c>
      <c r="E202" s="5">
        <f>IFERROR(__xludf.DUMMYFUNCTION("""COMPUTED_VALUE"""),252.4)</f>
        <v>252.4</v>
      </c>
      <c r="F202" s="5">
        <f>IFERROR(__xludf.DUMMYFUNCTION("""COMPUTED_VALUE"""),1.81722604E8)</f>
        <v>181722604</v>
      </c>
    </row>
    <row r="203">
      <c r="A203" s="7">
        <f>IFERROR(__xludf.DUMMYFUNCTION("""COMPUTED_VALUE"""),45758.66666666667)</f>
        <v>45758.66667</v>
      </c>
      <c r="B203" s="5">
        <f>IFERROR(__xludf.DUMMYFUNCTION("""COMPUTED_VALUE"""),251.84)</f>
        <v>251.84</v>
      </c>
      <c r="C203" s="5">
        <f>IFERROR(__xludf.DUMMYFUNCTION("""COMPUTED_VALUE"""),257.74)</f>
        <v>257.74</v>
      </c>
      <c r="D203" s="5">
        <f>IFERROR(__xludf.DUMMYFUNCTION("""COMPUTED_VALUE"""),241.36)</f>
        <v>241.36</v>
      </c>
      <c r="E203" s="5">
        <f>IFERROR(__xludf.DUMMYFUNCTION("""COMPUTED_VALUE"""),252.31)</f>
        <v>252.31</v>
      </c>
      <c r="F203" s="5">
        <f>IFERROR(__xludf.DUMMYFUNCTION("""COMPUTED_VALUE"""),1.28948085E8)</f>
        <v>128948085</v>
      </c>
    </row>
    <row r="204">
      <c r="A204" s="7">
        <f>IFERROR(__xludf.DUMMYFUNCTION("""COMPUTED_VALUE"""),45761.66666666667)</f>
        <v>45761.66667</v>
      </c>
      <c r="B204" s="5">
        <f>IFERROR(__xludf.DUMMYFUNCTION("""COMPUTED_VALUE"""),258.36)</f>
        <v>258.36</v>
      </c>
      <c r="C204" s="5">
        <f>IFERROR(__xludf.DUMMYFUNCTION("""COMPUTED_VALUE"""),261.8)</f>
        <v>261.8</v>
      </c>
      <c r="D204" s="5">
        <f>IFERROR(__xludf.DUMMYFUNCTION("""COMPUTED_VALUE"""),245.93)</f>
        <v>245.93</v>
      </c>
      <c r="E204" s="5">
        <f>IFERROR(__xludf.DUMMYFUNCTION("""COMPUTED_VALUE"""),252.35)</f>
        <v>252.35</v>
      </c>
      <c r="F204" s="5">
        <f>IFERROR(__xludf.DUMMYFUNCTION("""COMPUTED_VALUE"""),1.00135241E8)</f>
        <v>100135241</v>
      </c>
    </row>
    <row r="205">
      <c r="A205" s="7">
        <f>IFERROR(__xludf.DUMMYFUNCTION("""COMPUTED_VALUE"""),45762.66666666667)</f>
        <v>45762.66667</v>
      </c>
      <c r="B205" s="5">
        <f>IFERROR(__xludf.DUMMYFUNCTION("""COMPUTED_VALUE"""),249.91)</f>
        <v>249.91</v>
      </c>
      <c r="C205" s="5">
        <f>IFERROR(__xludf.DUMMYFUNCTION("""COMPUTED_VALUE"""),258.75)</f>
        <v>258.75</v>
      </c>
      <c r="D205" s="5">
        <f>IFERROR(__xludf.DUMMYFUNCTION("""COMPUTED_VALUE"""),247.54)</f>
        <v>247.54</v>
      </c>
      <c r="E205" s="5">
        <f>IFERROR(__xludf.DUMMYFUNCTION("""COMPUTED_VALUE"""),254.11)</f>
        <v>254.11</v>
      </c>
      <c r="F205" s="5">
        <f>IFERROR(__xludf.DUMMYFUNCTION("""COMPUTED_VALUE"""),7.9594318E7)</f>
        <v>79594318</v>
      </c>
    </row>
    <row r="206">
      <c r="A206" s="7">
        <f>IFERROR(__xludf.DUMMYFUNCTION("""COMPUTED_VALUE"""),45763.66666666667)</f>
        <v>45763.66667</v>
      </c>
      <c r="B206" s="5">
        <f>IFERROR(__xludf.DUMMYFUNCTION("""COMPUTED_VALUE"""),247.61)</f>
        <v>247.61</v>
      </c>
      <c r="C206" s="5">
        <f>IFERROR(__xludf.DUMMYFUNCTION("""COMPUTED_VALUE"""),251.97)</f>
        <v>251.97</v>
      </c>
      <c r="D206" s="5">
        <f>IFERROR(__xludf.DUMMYFUNCTION("""COMPUTED_VALUE"""),233.89)</f>
        <v>233.89</v>
      </c>
      <c r="E206" s="5">
        <f>IFERROR(__xludf.DUMMYFUNCTION("""COMPUTED_VALUE"""),241.55)</f>
        <v>241.55</v>
      </c>
      <c r="F206" s="5">
        <f>IFERROR(__xludf.DUMMYFUNCTION("""COMPUTED_VALUE"""),1.12378737E8)</f>
        <v>112378737</v>
      </c>
    </row>
    <row r="207">
      <c r="A207" s="7">
        <f>IFERROR(__xludf.DUMMYFUNCTION("""COMPUTED_VALUE"""),45764.66666666667)</f>
        <v>45764.66667</v>
      </c>
      <c r="B207" s="5">
        <f>IFERROR(__xludf.DUMMYFUNCTION("""COMPUTED_VALUE"""),243.47)</f>
        <v>243.47</v>
      </c>
      <c r="C207" s="5">
        <f>IFERROR(__xludf.DUMMYFUNCTION("""COMPUTED_VALUE"""),244.34)</f>
        <v>244.34</v>
      </c>
      <c r="D207" s="5">
        <f>IFERROR(__xludf.DUMMYFUNCTION("""COMPUTED_VALUE"""),237.68)</f>
        <v>237.68</v>
      </c>
      <c r="E207" s="5">
        <f>IFERROR(__xludf.DUMMYFUNCTION("""COMPUTED_VALUE"""),241.37)</f>
        <v>241.37</v>
      </c>
      <c r="F207" s="5">
        <f>IFERROR(__xludf.DUMMYFUNCTION("""COMPUTED_VALUE"""),8.3404775E7)</f>
        <v>83404775</v>
      </c>
    </row>
    <row r="208">
      <c r="A208" s="7">
        <f>IFERROR(__xludf.DUMMYFUNCTION("""COMPUTED_VALUE"""),45768.66666666667)</f>
        <v>45768.66667</v>
      </c>
      <c r="B208" s="5">
        <f>IFERROR(__xludf.DUMMYFUNCTION("""COMPUTED_VALUE"""),230.26)</f>
        <v>230.26</v>
      </c>
      <c r="C208" s="5">
        <f>IFERROR(__xludf.DUMMYFUNCTION("""COMPUTED_VALUE"""),232.21)</f>
        <v>232.21</v>
      </c>
      <c r="D208" s="5">
        <f>IFERROR(__xludf.DUMMYFUNCTION("""COMPUTED_VALUE"""),222.79)</f>
        <v>222.79</v>
      </c>
      <c r="E208" s="5">
        <f>IFERROR(__xludf.DUMMYFUNCTION("""COMPUTED_VALUE"""),227.5)</f>
        <v>227.5</v>
      </c>
      <c r="F208" s="5">
        <f>IFERROR(__xludf.DUMMYFUNCTION("""COMPUTED_VALUE"""),9.7768007E7)</f>
        <v>97768007</v>
      </c>
    </row>
    <row r="209">
      <c r="A209" s="7">
        <f>IFERROR(__xludf.DUMMYFUNCTION("""COMPUTED_VALUE"""),45769.66666666667)</f>
        <v>45769.66667</v>
      </c>
      <c r="B209" s="5">
        <f>IFERROR(__xludf.DUMMYFUNCTION("""COMPUTED_VALUE"""),230.96)</f>
        <v>230.96</v>
      </c>
      <c r="C209" s="5">
        <f>IFERROR(__xludf.DUMMYFUNCTION("""COMPUTED_VALUE"""),242.79)</f>
        <v>242.79</v>
      </c>
      <c r="D209" s="5">
        <f>IFERROR(__xludf.DUMMYFUNCTION("""COMPUTED_VALUE"""),229.85)</f>
        <v>229.85</v>
      </c>
      <c r="E209" s="5">
        <f>IFERROR(__xludf.DUMMYFUNCTION("""COMPUTED_VALUE"""),237.97)</f>
        <v>237.97</v>
      </c>
      <c r="F209" s="5">
        <f>IFERROR(__xludf.DUMMYFUNCTION("""COMPUTED_VALUE"""),1.20858452E8)</f>
        <v>120858452</v>
      </c>
    </row>
    <row r="210">
      <c r="A210" s="7">
        <f>IFERROR(__xludf.DUMMYFUNCTION("""COMPUTED_VALUE"""),45770.66666666667)</f>
        <v>45770.66667</v>
      </c>
      <c r="B210" s="5">
        <f>IFERROR(__xludf.DUMMYFUNCTION("""COMPUTED_VALUE"""),254.86)</f>
        <v>254.86</v>
      </c>
      <c r="C210" s="5">
        <f>IFERROR(__xludf.DUMMYFUNCTION("""COMPUTED_VALUE"""),259.45)</f>
        <v>259.45</v>
      </c>
      <c r="D210" s="5">
        <f>IFERROR(__xludf.DUMMYFUNCTION("""COMPUTED_VALUE"""),244.43)</f>
        <v>244.43</v>
      </c>
      <c r="E210" s="5">
        <f>IFERROR(__xludf.DUMMYFUNCTION("""COMPUTED_VALUE"""),250.74)</f>
        <v>250.74</v>
      </c>
      <c r="F210" s="5">
        <f>IFERROR(__xludf.DUMMYFUNCTION("""COMPUTED_VALUE"""),1.50381903E8)</f>
        <v>150381903</v>
      </c>
    </row>
    <row r="211">
      <c r="A211" s="7">
        <f>IFERROR(__xludf.DUMMYFUNCTION("""COMPUTED_VALUE"""),45771.66666666667)</f>
        <v>45771.66667</v>
      </c>
      <c r="B211" s="5">
        <f>IFERROR(__xludf.DUMMYFUNCTION("""COMPUTED_VALUE"""),250.5)</f>
        <v>250.5</v>
      </c>
      <c r="C211" s="5">
        <f>IFERROR(__xludf.DUMMYFUNCTION("""COMPUTED_VALUE"""),259.54)</f>
        <v>259.54</v>
      </c>
      <c r="D211" s="5">
        <f>IFERROR(__xludf.DUMMYFUNCTION("""COMPUTED_VALUE"""),249.2)</f>
        <v>249.2</v>
      </c>
      <c r="E211" s="5">
        <f>IFERROR(__xludf.DUMMYFUNCTION("""COMPUTED_VALUE"""),259.51)</f>
        <v>259.51</v>
      </c>
      <c r="F211" s="5">
        <f>IFERROR(__xludf.DUMMYFUNCTION("""COMPUTED_VALUE"""),9.4464195E7)</f>
        <v>94464195</v>
      </c>
    </row>
    <row r="212">
      <c r="A212" s="7">
        <f>IFERROR(__xludf.DUMMYFUNCTION("""COMPUTED_VALUE"""),45772.66666666667)</f>
        <v>45772.66667</v>
      </c>
      <c r="B212" s="5">
        <f>IFERROR(__xludf.DUMMYFUNCTION("""COMPUTED_VALUE"""),261.69)</f>
        <v>261.69</v>
      </c>
      <c r="C212" s="5">
        <f>IFERROR(__xludf.DUMMYFUNCTION("""COMPUTED_VALUE"""),286.85)</f>
        <v>286.85</v>
      </c>
      <c r="D212" s="5">
        <f>IFERROR(__xludf.DUMMYFUNCTION("""COMPUTED_VALUE"""),259.63)</f>
        <v>259.63</v>
      </c>
      <c r="E212" s="5">
        <f>IFERROR(__xludf.DUMMYFUNCTION("""COMPUTED_VALUE"""),284.95)</f>
        <v>284.95</v>
      </c>
      <c r="F212" s="5">
        <f>IFERROR(__xludf.DUMMYFUNCTION("""COMPUTED_VALUE"""),1.67560688E8)</f>
        <v>167560688</v>
      </c>
    </row>
    <row r="213">
      <c r="A213" s="7">
        <f>IFERROR(__xludf.DUMMYFUNCTION("""COMPUTED_VALUE"""),45775.66666666667)</f>
        <v>45775.66667</v>
      </c>
      <c r="B213" s="5">
        <f>IFERROR(__xludf.DUMMYFUNCTION("""COMPUTED_VALUE"""),288.98)</f>
        <v>288.98</v>
      </c>
      <c r="C213" s="5">
        <f>IFERROR(__xludf.DUMMYFUNCTION("""COMPUTED_VALUE"""),294.86)</f>
        <v>294.86</v>
      </c>
      <c r="D213" s="5">
        <f>IFERROR(__xludf.DUMMYFUNCTION("""COMPUTED_VALUE"""),272.42)</f>
        <v>272.42</v>
      </c>
      <c r="E213" s="5">
        <f>IFERROR(__xludf.DUMMYFUNCTION("""COMPUTED_VALUE"""),285.88)</f>
        <v>285.88</v>
      </c>
      <c r="F213" s="5">
        <f>IFERROR(__xludf.DUMMYFUNCTION("""COMPUTED_VALUE"""),1.51731771E8)</f>
        <v>151731771</v>
      </c>
    </row>
    <row r="214">
      <c r="A214" s="7">
        <f>IFERROR(__xludf.DUMMYFUNCTION("""COMPUTED_VALUE"""),45776.66666666667)</f>
        <v>45776.66667</v>
      </c>
      <c r="B214" s="5">
        <f>IFERROR(__xludf.DUMMYFUNCTION("""COMPUTED_VALUE"""),285.5)</f>
        <v>285.5</v>
      </c>
      <c r="C214" s="5">
        <f>IFERROR(__xludf.DUMMYFUNCTION("""COMPUTED_VALUE"""),293.32)</f>
        <v>293.32</v>
      </c>
      <c r="D214" s="5">
        <f>IFERROR(__xludf.DUMMYFUNCTION("""COMPUTED_VALUE"""),279.47)</f>
        <v>279.47</v>
      </c>
      <c r="E214" s="5">
        <f>IFERROR(__xludf.DUMMYFUNCTION("""COMPUTED_VALUE"""),292.03)</f>
        <v>292.03</v>
      </c>
      <c r="F214" s="5">
        <f>IFERROR(__xludf.DUMMYFUNCTION("""COMPUTED_VALUE"""),1.08906553E8)</f>
        <v>108906553</v>
      </c>
    </row>
    <row r="215">
      <c r="A215" s="7">
        <f>IFERROR(__xludf.DUMMYFUNCTION("""COMPUTED_VALUE"""),45777.66666666667)</f>
        <v>45777.66667</v>
      </c>
      <c r="B215" s="5">
        <f>IFERROR(__xludf.DUMMYFUNCTION("""COMPUTED_VALUE"""),279.9)</f>
        <v>279.9</v>
      </c>
      <c r="C215" s="5">
        <f>IFERROR(__xludf.DUMMYFUNCTION("""COMPUTED_VALUE"""),284.45)</f>
        <v>284.45</v>
      </c>
      <c r="D215" s="5">
        <f>IFERROR(__xludf.DUMMYFUNCTION("""COMPUTED_VALUE"""),270.78)</f>
        <v>270.78</v>
      </c>
      <c r="E215" s="5">
        <f>IFERROR(__xludf.DUMMYFUNCTION("""COMPUTED_VALUE"""),282.16)</f>
        <v>282.16</v>
      </c>
      <c r="F215" s="5">
        <f>IFERROR(__xludf.DUMMYFUNCTION("""COMPUTED_VALUE"""),1.28961057E8)</f>
        <v>128961057</v>
      </c>
    </row>
    <row r="216">
      <c r="A216" s="7">
        <f>IFERROR(__xludf.DUMMYFUNCTION("""COMPUTED_VALUE"""),45778.66666666667)</f>
        <v>45778.66667</v>
      </c>
      <c r="B216" s="5">
        <f>IFERROR(__xludf.DUMMYFUNCTION("""COMPUTED_VALUE"""),280.01)</f>
        <v>280.01</v>
      </c>
      <c r="C216" s="5">
        <f>IFERROR(__xludf.DUMMYFUNCTION("""COMPUTED_VALUE"""),290.87)</f>
        <v>290.87</v>
      </c>
      <c r="D216" s="5">
        <f>IFERROR(__xludf.DUMMYFUNCTION("""COMPUTED_VALUE"""),279.81)</f>
        <v>279.81</v>
      </c>
      <c r="E216" s="5">
        <f>IFERROR(__xludf.DUMMYFUNCTION("""COMPUTED_VALUE"""),280.52)</f>
        <v>280.52</v>
      </c>
      <c r="F216" s="5">
        <f>IFERROR(__xludf.DUMMYFUNCTION("""COMPUTED_VALUE"""),9.9658974E7)</f>
        <v>99658974</v>
      </c>
    </row>
    <row r="217">
      <c r="A217" s="7">
        <f>IFERROR(__xludf.DUMMYFUNCTION("""COMPUTED_VALUE"""),45779.66666666667)</f>
        <v>45779.66667</v>
      </c>
      <c r="B217" s="5">
        <f>IFERROR(__xludf.DUMMYFUNCTION("""COMPUTED_VALUE"""),284.9)</f>
        <v>284.9</v>
      </c>
      <c r="C217" s="5">
        <f>IFERROR(__xludf.DUMMYFUNCTION("""COMPUTED_VALUE"""),294.78)</f>
        <v>294.78</v>
      </c>
      <c r="D217" s="5">
        <f>IFERROR(__xludf.DUMMYFUNCTION("""COMPUTED_VALUE"""),279.81)</f>
        <v>279.81</v>
      </c>
      <c r="E217" s="5">
        <f>IFERROR(__xludf.DUMMYFUNCTION("""COMPUTED_VALUE"""),287.21)</f>
        <v>287.21</v>
      </c>
      <c r="F217" s="5">
        <f>IFERROR(__xludf.DUMMYFUNCTION("""COMPUTED_VALUE"""),1.14454683E8)</f>
        <v>114454683</v>
      </c>
    </row>
    <row r="218">
      <c r="A218" s="7">
        <f>IFERROR(__xludf.DUMMYFUNCTION("""COMPUTED_VALUE"""),45782.66666666667)</f>
        <v>45782.66667</v>
      </c>
      <c r="B218" s="5">
        <f>IFERROR(__xludf.DUMMYFUNCTION("""COMPUTED_VALUE"""),284.57)</f>
        <v>284.57</v>
      </c>
      <c r="C218" s="5">
        <f>IFERROR(__xludf.DUMMYFUNCTION("""COMPUTED_VALUE"""),284.85)</f>
        <v>284.85</v>
      </c>
      <c r="D218" s="5">
        <f>IFERROR(__xludf.DUMMYFUNCTION("""COMPUTED_VALUE"""),274.4)</f>
        <v>274.4</v>
      </c>
      <c r="E218" s="5">
        <f>IFERROR(__xludf.DUMMYFUNCTION("""COMPUTED_VALUE"""),280.26)</f>
        <v>280.26</v>
      </c>
      <c r="F218" s="5">
        <f>IFERROR(__xludf.DUMMYFUNCTION("""COMPUTED_VALUE"""),9.4618882E7)</f>
        <v>94618882</v>
      </c>
    </row>
    <row r="219">
      <c r="A219" s="7">
        <f>IFERROR(__xludf.DUMMYFUNCTION("""COMPUTED_VALUE"""),45783.66666666667)</f>
        <v>45783.66667</v>
      </c>
      <c r="B219" s="5">
        <f>IFERROR(__xludf.DUMMYFUNCTION("""COMPUTED_VALUE"""),273.11)</f>
        <v>273.11</v>
      </c>
      <c r="C219" s="5">
        <f>IFERROR(__xludf.DUMMYFUNCTION("""COMPUTED_VALUE"""),277.73)</f>
        <v>277.73</v>
      </c>
      <c r="D219" s="5">
        <f>IFERROR(__xludf.DUMMYFUNCTION("""COMPUTED_VALUE"""),271.35)</f>
        <v>271.35</v>
      </c>
      <c r="E219" s="5">
        <f>IFERROR(__xludf.DUMMYFUNCTION("""COMPUTED_VALUE"""),275.35)</f>
        <v>275.35</v>
      </c>
      <c r="F219" s="5">
        <f>IFERROR(__xludf.DUMMYFUNCTION("""COMPUTED_VALUE"""),7.6715792E7)</f>
        <v>76715792</v>
      </c>
    </row>
    <row r="220">
      <c r="A220" s="7">
        <f>IFERROR(__xludf.DUMMYFUNCTION("""COMPUTED_VALUE"""),45784.66666666667)</f>
        <v>45784.66667</v>
      </c>
      <c r="B220" s="5">
        <f>IFERROR(__xludf.DUMMYFUNCTION("""COMPUTED_VALUE"""),276.88)</f>
        <v>276.88</v>
      </c>
      <c r="C220" s="5">
        <f>IFERROR(__xludf.DUMMYFUNCTION("""COMPUTED_VALUE"""),277.92)</f>
        <v>277.92</v>
      </c>
      <c r="D220" s="5">
        <f>IFERROR(__xludf.DUMMYFUNCTION("""COMPUTED_VALUE"""),271.0)</f>
        <v>271</v>
      </c>
      <c r="E220" s="5">
        <f>IFERROR(__xludf.DUMMYFUNCTION("""COMPUTED_VALUE"""),276.22)</f>
        <v>276.22</v>
      </c>
      <c r="F220" s="5">
        <f>IFERROR(__xludf.DUMMYFUNCTION("""COMPUTED_VALUE"""),7.1882408E7)</f>
        <v>71882408</v>
      </c>
    </row>
    <row r="221">
      <c r="A221" s="7">
        <f>IFERROR(__xludf.DUMMYFUNCTION("""COMPUTED_VALUE"""),45785.66666666667)</f>
        <v>45785.66667</v>
      </c>
      <c r="B221" s="5">
        <f>IFERROR(__xludf.DUMMYFUNCTION("""COMPUTED_VALUE"""),279.63)</f>
        <v>279.63</v>
      </c>
      <c r="C221" s="5">
        <f>IFERROR(__xludf.DUMMYFUNCTION("""COMPUTED_VALUE"""),289.8)</f>
        <v>289.8</v>
      </c>
      <c r="D221" s="5">
        <f>IFERROR(__xludf.DUMMYFUNCTION("""COMPUTED_VALUE"""),279.41)</f>
        <v>279.41</v>
      </c>
      <c r="E221" s="5">
        <f>IFERROR(__xludf.DUMMYFUNCTION("""COMPUTED_VALUE"""),284.82)</f>
        <v>284.82</v>
      </c>
      <c r="F221" s="5">
        <f>IFERROR(__xludf.DUMMYFUNCTION("""COMPUTED_VALUE"""),9.7539448E7)</f>
        <v>97539448</v>
      </c>
    </row>
    <row r="222">
      <c r="A222" s="7">
        <f>IFERROR(__xludf.DUMMYFUNCTION("""COMPUTED_VALUE"""),45786.66666666667)</f>
        <v>45786.66667</v>
      </c>
      <c r="B222" s="5">
        <f>IFERROR(__xludf.DUMMYFUNCTION("""COMPUTED_VALUE"""),290.21)</f>
        <v>290.21</v>
      </c>
      <c r="C222" s="5">
        <f>IFERROR(__xludf.DUMMYFUNCTION("""COMPUTED_VALUE"""),307.04)</f>
        <v>307.04</v>
      </c>
      <c r="D222" s="5">
        <f>IFERROR(__xludf.DUMMYFUNCTION("""COMPUTED_VALUE"""),290.0)</f>
        <v>290</v>
      </c>
      <c r="E222" s="5">
        <f>IFERROR(__xludf.DUMMYFUNCTION("""COMPUTED_VALUE"""),298.26)</f>
        <v>298.26</v>
      </c>
      <c r="F222" s="5">
        <f>IFERROR(__xludf.DUMMYFUNCTION("""COMPUTED_VALUE"""),1.32387835E8)</f>
        <v>132387835</v>
      </c>
    </row>
    <row r="223">
      <c r="A223" s="7">
        <f>IFERROR(__xludf.DUMMYFUNCTION("""COMPUTED_VALUE"""),45789.66666666667)</f>
        <v>45789.66667</v>
      </c>
      <c r="B223" s="5">
        <f>IFERROR(__xludf.DUMMYFUNCTION("""COMPUTED_VALUE"""),321.99)</f>
        <v>321.99</v>
      </c>
      <c r="C223" s="5">
        <f>IFERROR(__xludf.DUMMYFUNCTION("""COMPUTED_VALUE"""),322.21)</f>
        <v>322.21</v>
      </c>
      <c r="D223" s="5">
        <f>IFERROR(__xludf.DUMMYFUNCTION("""COMPUTED_VALUE"""),311.5)</f>
        <v>311.5</v>
      </c>
      <c r="E223" s="5">
        <f>IFERROR(__xludf.DUMMYFUNCTION("""COMPUTED_VALUE"""),318.38)</f>
        <v>318.38</v>
      </c>
      <c r="F223" s="5">
        <f>IFERROR(__xludf.DUMMYFUNCTION("""COMPUTED_VALUE"""),1.12826661E8)</f>
        <v>112826661</v>
      </c>
    </row>
    <row r="224">
      <c r="A224" s="7">
        <f>IFERROR(__xludf.DUMMYFUNCTION("""COMPUTED_VALUE"""),45790.66666666667)</f>
        <v>45790.66667</v>
      </c>
      <c r="B224" s="5">
        <f>IFERROR(__xludf.DUMMYFUNCTION("""COMPUTED_VALUE"""),320.0)</f>
        <v>320</v>
      </c>
      <c r="C224" s="5">
        <f>IFERROR(__xludf.DUMMYFUNCTION("""COMPUTED_VALUE"""),337.59)</f>
        <v>337.59</v>
      </c>
      <c r="D224" s="5">
        <f>IFERROR(__xludf.DUMMYFUNCTION("""COMPUTED_VALUE"""),316.8)</f>
        <v>316.8</v>
      </c>
      <c r="E224" s="5">
        <f>IFERROR(__xludf.DUMMYFUNCTION("""COMPUTED_VALUE"""),334.07)</f>
        <v>334.07</v>
      </c>
      <c r="F224" s="5">
        <f>IFERROR(__xludf.DUMMYFUNCTION("""COMPUTED_VALUE"""),1.36992574E8)</f>
        <v>136992574</v>
      </c>
    </row>
    <row r="225">
      <c r="A225" s="7">
        <f>IFERROR(__xludf.DUMMYFUNCTION("""COMPUTED_VALUE"""),45791.66666666667)</f>
        <v>45791.66667</v>
      </c>
      <c r="B225" s="5">
        <f>IFERROR(__xludf.DUMMYFUNCTION("""COMPUTED_VALUE"""),342.5)</f>
        <v>342.5</v>
      </c>
      <c r="C225" s="5">
        <f>IFERROR(__xludf.DUMMYFUNCTION("""COMPUTED_VALUE"""),350.0)</f>
        <v>350</v>
      </c>
      <c r="D225" s="5">
        <f>IFERROR(__xludf.DUMMYFUNCTION("""COMPUTED_VALUE"""),337.0)</f>
        <v>337</v>
      </c>
      <c r="E225" s="5">
        <f>IFERROR(__xludf.DUMMYFUNCTION("""COMPUTED_VALUE"""),347.68)</f>
        <v>347.68</v>
      </c>
      <c r="F225" s="5">
        <f>IFERROR(__xludf.DUMMYFUNCTION("""COMPUTED_VALUE"""),1.36997264E8)</f>
        <v>136997264</v>
      </c>
    </row>
    <row r="226">
      <c r="A226" s="7">
        <f>IFERROR(__xludf.DUMMYFUNCTION("""COMPUTED_VALUE"""),45792.66666666667)</f>
        <v>45792.66667</v>
      </c>
      <c r="B226" s="5">
        <f>IFERROR(__xludf.DUMMYFUNCTION("""COMPUTED_VALUE"""),340.34)</f>
        <v>340.34</v>
      </c>
      <c r="C226" s="5">
        <f>IFERROR(__xludf.DUMMYFUNCTION("""COMPUTED_VALUE"""),346.14)</f>
        <v>346.14</v>
      </c>
      <c r="D226" s="5">
        <f>IFERROR(__xludf.DUMMYFUNCTION("""COMPUTED_VALUE"""),334.72)</f>
        <v>334.72</v>
      </c>
      <c r="E226" s="5">
        <f>IFERROR(__xludf.DUMMYFUNCTION("""COMPUTED_VALUE"""),342.82)</f>
        <v>342.82</v>
      </c>
      <c r="F226" s="5">
        <f>IFERROR(__xludf.DUMMYFUNCTION("""COMPUTED_VALUE"""),9.7882596E7)</f>
        <v>97882596</v>
      </c>
    </row>
    <row r="227">
      <c r="A227" s="7">
        <f>IFERROR(__xludf.DUMMYFUNCTION("""COMPUTED_VALUE"""),45793.66666666667)</f>
        <v>45793.66667</v>
      </c>
      <c r="B227" s="5">
        <f>IFERROR(__xludf.DUMMYFUNCTION("""COMPUTED_VALUE"""),346.24)</f>
        <v>346.24</v>
      </c>
      <c r="C227" s="5">
        <f>IFERROR(__xludf.DUMMYFUNCTION("""COMPUTED_VALUE"""),351.62)</f>
        <v>351.62</v>
      </c>
      <c r="D227" s="5">
        <f>IFERROR(__xludf.DUMMYFUNCTION("""COMPUTED_VALUE"""),342.33)</f>
        <v>342.33</v>
      </c>
      <c r="E227" s="5">
        <f>IFERROR(__xludf.DUMMYFUNCTION("""COMPUTED_VALUE"""),349.98)</f>
        <v>349.98</v>
      </c>
      <c r="F227" s="5">
        <f>IFERROR(__xludf.DUMMYFUNCTION("""COMPUTED_VALUE"""),9.5895665E7)</f>
        <v>95895665</v>
      </c>
    </row>
    <row r="228">
      <c r="A228" s="7">
        <f>IFERROR(__xludf.DUMMYFUNCTION("""COMPUTED_VALUE"""),45796.66666666667)</f>
        <v>45796.66667</v>
      </c>
      <c r="B228" s="5">
        <f>IFERROR(__xludf.DUMMYFUNCTION("""COMPUTED_VALUE"""),336.3)</f>
        <v>336.3</v>
      </c>
      <c r="C228" s="5">
        <f>IFERROR(__xludf.DUMMYFUNCTION("""COMPUTED_VALUE"""),343.0)</f>
        <v>343</v>
      </c>
      <c r="D228" s="5">
        <f>IFERROR(__xludf.DUMMYFUNCTION("""COMPUTED_VALUE"""),333.37)</f>
        <v>333.37</v>
      </c>
      <c r="E228" s="5">
        <f>IFERROR(__xludf.DUMMYFUNCTION("""COMPUTED_VALUE"""),342.09)</f>
        <v>342.09</v>
      </c>
      <c r="F228" s="5">
        <f>IFERROR(__xludf.DUMMYFUNCTION("""COMPUTED_VALUE"""),8.8869853E7)</f>
        <v>88869853</v>
      </c>
    </row>
    <row r="229">
      <c r="A229" s="7">
        <f>IFERROR(__xludf.DUMMYFUNCTION("""COMPUTED_VALUE"""),45797.66666666667)</f>
        <v>45797.66667</v>
      </c>
      <c r="B229" s="5">
        <f>IFERROR(__xludf.DUMMYFUNCTION("""COMPUTED_VALUE"""),347.87)</f>
        <v>347.87</v>
      </c>
      <c r="C229" s="5">
        <f>IFERROR(__xludf.DUMMYFUNCTION("""COMPUTED_VALUE"""),354.99)</f>
        <v>354.99</v>
      </c>
      <c r="D229" s="5">
        <f>IFERROR(__xludf.DUMMYFUNCTION("""COMPUTED_VALUE"""),341.63)</f>
        <v>341.63</v>
      </c>
      <c r="E229" s="5">
        <f>IFERROR(__xludf.DUMMYFUNCTION("""COMPUTED_VALUE"""),343.82)</f>
        <v>343.82</v>
      </c>
      <c r="F229" s="5">
        <f>IFERROR(__xludf.DUMMYFUNCTION("""COMPUTED_VALUE"""),1.31715548E8)</f>
        <v>131715548</v>
      </c>
    </row>
    <row r="230">
      <c r="A230" s="7">
        <f>IFERROR(__xludf.DUMMYFUNCTION("""COMPUTED_VALUE"""),45798.66666666667)</f>
        <v>45798.66667</v>
      </c>
      <c r="B230" s="5">
        <f>IFERROR(__xludf.DUMMYFUNCTION("""COMPUTED_VALUE"""),344.43)</f>
        <v>344.43</v>
      </c>
      <c r="C230" s="5">
        <f>IFERROR(__xludf.DUMMYFUNCTION("""COMPUTED_VALUE"""),347.35)</f>
        <v>347.35</v>
      </c>
      <c r="D230" s="5">
        <f>IFERROR(__xludf.DUMMYFUNCTION("""COMPUTED_VALUE"""),332.2)</f>
        <v>332.2</v>
      </c>
      <c r="E230" s="5">
        <f>IFERROR(__xludf.DUMMYFUNCTION("""COMPUTED_VALUE"""),334.62)</f>
        <v>334.62</v>
      </c>
      <c r="F230" s="5">
        <f>IFERROR(__xludf.DUMMYFUNCTION("""COMPUTED_VALUE"""),1.02354844E8)</f>
        <v>102354844</v>
      </c>
    </row>
    <row r="231">
      <c r="A231" s="7">
        <f>IFERROR(__xludf.DUMMYFUNCTION("""COMPUTED_VALUE"""),45799.66666666667)</f>
        <v>45799.66667</v>
      </c>
      <c r="B231" s="5">
        <f>IFERROR(__xludf.DUMMYFUNCTION("""COMPUTED_VALUE"""),344.43)</f>
        <v>344.43</v>
      </c>
      <c r="C231" s="5">
        <f>IFERROR(__xludf.DUMMYFUNCTION("""COMPUTED_VALUE"""),347.35)</f>
        <v>347.35</v>
      </c>
      <c r="D231" s="5">
        <f>IFERROR(__xludf.DUMMYFUNCTION("""COMPUTED_VALUE"""),332.2)</f>
        <v>332.2</v>
      </c>
      <c r="E231" s="5">
        <f>IFERROR(__xludf.DUMMYFUNCTION("""COMPUTED_VALUE"""),334.62)</f>
        <v>334.62</v>
      </c>
      <c r="F231" s="5">
        <f>IFERROR(__xludf.DUMMYFUNCTION("""COMPUTED_VALUE"""),5462213.0)</f>
        <v>5462213</v>
      </c>
    </row>
    <row r="232">
      <c r="A232" s="7">
        <f>IFERROR(__xludf.DUMMYFUNCTION("""COMPUTED_VALUE"""),45800.66666666667)</f>
        <v>45800.66667</v>
      </c>
      <c r="B232" s="5">
        <f>IFERROR(__xludf.DUMMYFUNCTION("""COMPUTED_VALUE"""),337.92)</f>
        <v>337.92</v>
      </c>
      <c r="C232" s="5">
        <f>IFERROR(__xludf.DUMMYFUNCTION("""COMPUTED_VALUE"""),343.18)</f>
        <v>343.18</v>
      </c>
      <c r="D232" s="5">
        <f>IFERROR(__xludf.DUMMYFUNCTION("""COMPUTED_VALUE"""),333.21)</f>
        <v>333.21</v>
      </c>
      <c r="E232" s="5">
        <f>IFERROR(__xludf.DUMMYFUNCTION("""COMPUTED_VALUE"""),339.34)</f>
        <v>339.34</v>
      </c>
      <c r="F232" s="5">
        <f>IFERROR(__xludf.DUMMYFUNCTION("""COMPUTED_VALUE"""),8.4654818E7)</f>
        <v>84654818</v>
      </c>
    </row>
    <row r="233">
      <c r="A233" s="7">
        <f>IFERROR(__xludf.DUMMYFUNCTION("""COMPUTED_VALUE"""),45804.66666666667)</f>
        <v>45804.66667</v>
      </c>
      <c r="B233" s="5">
        <f>IFERROR(__xludf.DUMMYFUNCTION("""COMPUTED_VALUE"""),347.35)</f>
        <v>347.35</v>
      </c>
      <c r="C233" s="5">
        <f>IFERROR(__xludf.DUMMYFUNCTION("""COMPUTED_VALUE"""),363.79)</f>
        <v>363.79</v>
      </c>
      <c r="D233" s="5">
        <f>IFERROR(__xludf.DUMMYFUNCTION("""COMPUTED_VALUE"""),347.32)</f>
        <v>347.32</v>
      </c>
      <c r="E233" s="5">
        <f>IFERROR(__xludf.DUMMYFUNCTION("""COMPUTED_VALUE"""),362.89)</f>
        <v>362.89</v>
      </c>
      <c r="F233" s="5">
        <f>IFERROR(__xludf.DUMMYFUNCTION("""COMPUTED_VALUE"""),1.20146414E8)</f>
        <v>120146414</v>
      </c>
    </row>
    <row r="234">
      <c r="A234" s="7">
        <f>IFERROR(__xludf.DUMMYFUNCTION("""COMPUTED_VALUE"""),45805.66666666667)</f>
        <v>45805.66667</v>
      </c>
      <c r="B234" s="5">
        <f>IFERROR(__xludf.DUMMYFUNCTION("""COMPUTED_VALUE"""),364.84)</f>
        <v>364.84</v>
      </c>
      <c r="C234" s="5">
        <f>IFERROR(__xludf.DUMMYFUNCTION("""COMPUTED_VALUE"""),365.0)</f>
        <v>365</v>
      </c>
      <c r="D234" s="5">
        <f>IFERROR(__xludf.DUMMYFUNCTION("""COMPUTED_VALUE"""),355.91)</f>
        <v>355.91</v>
      </c>
      <c r="E234" s="5">
        <f>IFERROR(__xludf.DUMMYFUNCTION("""COMPUTED_VALUE"""),356.9)</f>
        <v>356.9</v>
      </c>
      <c r="F234" s="5">
        <f>IFERROR(__xludf.DUMMYFUNCTION("""COMPUTED_VALUE"""),9.1404309E7)</f>
        <v>91404309</v>
      </c>
    </row>
    <row r="235">
      <c r="A235" s="7">
        <f>IFERROR(__xludf.DUMMYFUNCTION("""COMPUTED_VALUE"""),45806.66666666667)</f>
        <v>45806.66667</v>
      </c>
      <c r="B235" s="5">
        <f>IFERROR(__xludf.DUMMYFUNCTION("""COMPUTED_VALUE"""),365.29)</f>
        <v>365.29</v>
      </c>
      <c r="C235" s="5">
        <f>IFERROR(__xludf.DUMMYFUNCTION("""COMPUTED_VALUE"""),367.71)</f>
        <v>367.71</v>
      </c>
      <c r="D235" s="5">
        <f>IFERROR(__xludf.DUMMYFUNCTION("""COMPUTED_VALUE"""),356.0)</f>
        <v>356</v>
      </c>
      <c r="E235" s="5">
        <f>IFERROR(__xludf.DUMMYFUNCTION("""COMPUTED_VALUE"""),358.43)</f>
        <v>358.43</v>
      </c>
      <c r="F235" s="5">
        <f>IFERROR(__xludf.DUMMYFUNCTION("""COMPUTED_VALUE"""),8.8545666E7)</f>
        <v>88545666</v>
      </c>
    </row>
    <row r="236">
      <c r="A236" s="7">
        <f>IFERROR(__xludf.DUMMYFUNCTION("""COMPUTED_VALUE"""),45807.66666666667)</f>
        <v>45807.66667</v>
      </c>
      <c r="B236" s="5">
        <f>IFERROR(__xludf.DUMMYFUNCTION("""COMPUTED_VALUE"""),355.52)</f>
        <v>355.52</v>
      </c>
      <c r="C236" s="5">
        <f>IFERROR(__xludf.DUMMYFUNCTION("""COMPUTED_VALUE"""),363.68)</f>
        <v>363.68</v>
      </c>
      <c r="D236" s="5">
        <f>IFERROR(__xludf.DUMMYFUNCTION("""COMPUTED_VALUE"""),345.29)</f>
        <v>345.29</v>
      </c>
      <c r="E236" s="5">
        <f>IFERROR(__xludf.DUMMYFUNCTION("""COMPUTED_VALUE"""),346.46)</f>
        <v>346.46</v>
      </c>
      <c r="F236" s="5">
        <f>IFERROR(__xludf.DUMMYFUNCTION("""COMPUTED_VALUE"""),1.23474938E8)</f>
        <v>123474938</v>
      </c>
    </row>
    <row r="237">
      <c r="A237" s="7">
        <f>IFERROR(__xludf.DUMMYFUNCTION("""COMPUTED_VALUE"""),45810.66666666667)</f>
        <v>45810.66667</v>
      </c>
      <c r="B237" s="5">
        <f>IFERROR(__xludf.DUMMYFUNCTION("""COMPUTED_VALUE"""),343.5)</f>
        <v>343.5</v>
      </c>
      <c r="C237" s="5">
        <f>IFERROR(__xludf.DUMMYFUNCTION("""COMPUTED_VALUE"""),348.02)</f>
        <v>348.02</v>
      </c>
      <c r="D237" s="5">
        <f>IFERROR(__xludf.DUMMYFUNCTION("""COMPUTED_VALUE"""),333.33)</f>
        <v>333.33</v>
      </c>
      <c r="E237" s="5">
        <f>IFERROR(__xludf.DUMMYFUNCTION("""COMPUTED_VALUE"""),342.69)</f>
        <v>342.69</v>
      </c>
      <c r="F237" s="5">
        <f>IFERROR(__xludf.DUMMYFUNCTION("""COMPUTED_VALUE"""),8.1873829E7)</f>
        <v>81873829</v>
      </c>
    </row>
    <row r="238">
      <c r="A238" s="7">
        <f>IFERROR(__xludf.DUMMYFUNCTION("""COMPUTED_VALUE"""),45811.66666666667)</f>
        <v>45811.66667</v>
      </c>
      <c r="B238" s="5">
        <f>IFERROR(__xludf.DUMMYFUNCTION("""COMPUTED_VALUE"""),346.6)</f>
        <v>346.6</v>
      </c>
      <c r="C238" s="5">
        <f>IFERROR(__xludf.DUMMYFUNCTION("""COMPUTED_VALUE"""),355.4)</f>
        <v>355.4</v>
      </c>
      <c r="D238" s="5">
        <f>IFERROR(__xludf.DUMMYFUNCTION("""COMPUTED_VALUE"""),343.04)</f>
        <v>343.04</v>
      </c>
      <c r="E238" s="5">
        <f>IFERROR(__xludf.DUMMYFUNCTION("""COMPUTED_VALUE"""),344.27)</f>
        <v>344.27</v>
      </c>
      <c r="F238" s="5">
        <f>IFERROR(__xludf.DUMMYFUNCTION("""COMPUTED_VALUE"""),9.9324544E7)</f>
        <v>99324544</v>
      </c>
    </row>
    <row r="239">
      <c r="A239" s="7">
        <f>IFERROR(__xludf.DUMMYFUNCTION("""COMPUTED_VALUE"""),45812.66666666667)</f>
        <v>45812.66667</v>
      </c>
      <c r="B239" s="5">
        <f>IFERROR(__xludf.DUMMYFUNCTION("""COMPUTED_VALUE"""),345.1)</f>
        <v>345.1</v>
      </c>
      <c r="C239" s="5">
        <f>IFERROR(__xludf.DUMMYFUNCTION("""COMPUTED_VALUE"""),345.6)</f>
        <v>345.6</v>
      </c>
      <c r="D239" s="5">
        <f>IFERROR(__xludf.DUMMYFUNCTION("""COMPUTED_VALUE"""),327.33)</f>
        <v>327.33</v>
      </c>
      <c r="E239" s="5">
        <f>IFERROR(__xludf.DUMMYFUNCTION("""COMPUTED_VALUE"""),332.05)</f>
        <v>332.05</v>
      </c>
      <c r="F239" s="5">
        <f>IFERROR(__xludf.DUMMYFUNCTION("""COMPUTED_VALUE"""),9.8912075E7)</f>
        <v>98912075</v>
      </c>
    </row>
    <row r="240">
      <c r="A240" s="7">
        <f>IFERROR(__xludf.DUMMYFUNCTION("""COMPUTED_VALUE"""),45813.66666666667)</f>
        <v>45813.66667</v>
      </c>
      <c r="B240" s="5">
        <f>IFERROR(__xludf.DUMMYFUNCTION("""COMPUTED_VALUE"""),322.49)</f>
        <v>322.49</v>
      </c>
      <c r="C240" s="5">
        <f>IFERROR(__xludf.DUMMYFUNCTION("""COMPUTED_VALUE"""),324.55)</f>
        <v>324.55</v>
      </c>
      <c r="D240" s="5">
        <f>IFERROR(__xludf.DUMMYFUNCTION("""COMPUTED_VALUE"""),273.21)</f>
        <v>273.21</v>
      </c>
      <c r="E240" s="5">
        <f>IFERROR(__xludf.DUMMYFUNCTION("""COMPUTED_VALUE"""),284.7)</f>
        <v>284.7</v>
      </c>
      <c r="F240" s="5">
        <f>IFERROR(__xludf.DUMMYFUNCTION("""COMPUTED_VALUE"""),2.92818655E8)</f>
        <v>292818655</v>
      </c>
    </row>
    <row r="241">
      <c r="A241" s="7">
        <f>IFERROR(__xludf.DUMMYFUNCTION("""COMPUTED_VALUE"""),45814.66666666667)</f>
        <v>45814.66667</v>
      </c>
      <c r="B241" s="5">
        <f>IFERROR(__xludf.DUMMYFUNCTION("""COMPUTED_VALUE"""),298.83)</f>
        <v>298.83</v>
      </c>
      <c r="C241" s="5">
        <f>IFERROR(__xludf.DUMMYFUNCTION("""COMPUTED_VALUE"""),305.5)</f>
        <v>305.5</v>
      </c>
      <c r="D241" s="5">
        <f>IFERROR(__xludf.DUMMYFUNCTION("""COMPUTED_VALUE"""),291.14)</f>
        <v>291.14</v>
      </c>
      <c r="E241" s="5">
        <f>IFERROR(__xludf.DUMMYFUNCTION("""COMPUTED_VALUE"""),295.14)</f>
        <v>295.14</v>
      </c>
      <c r="F241" s="5">
        <f>IFERROR(__xludf.DUMMYFUNCTION("""COMPUTED_VALUE"""),1.64747685E8)</f>
        <v>164747685</v>
      </c>
    </row>
    <row r="242">
      <c r="A242" s="7">
        <f>IFERROR(__xludf.DUMMYFUNCTION("""COMPUTED_VALUE"""),45817.66666666667)</f>
        <v>45817.66667</v>
      </c>
      <c r="B242" s="5">
        <f>IFERROR(__xludf.DUMMYFUNCTION("""COMPUTED_VALUE"""),285.96)</f>
        <v>285.96</v>
      </c>
      <c r="C242" s="5">
        <f>IFERROR(__xludf.DUMMYFUNCTION("""COMPUTED_VALUE"""),309.83)</f>
        <v>309.83</v>
      </c>
      <c r="D242" s="5">
        <f>IFERROR(__xludf.DUMMYFUNCTION("""COMPUTED_VALUE"""),281.85)</f>
        <v>281.85</v>
      </c>
      <c r="E242" s="5">
        <f>IFERROR(__xludf.DUMMYFUNCTION("""COMPUTED_VALUE"""),308.58)</f>
        <v>308.58</v>
      </c>
      <c r="F242" s="5">
        <f>IFERROR(__xludf.DUMMYFUNCTION("""COMPUTED_VALUE"""),1.40908876E8)</f>
        <v>140908876</v>
      </c>
    </row>
    <row r="243">
      <c r="A243" s="7">
        <f>IFERROR(__xludf.DUMMYFUNCTION("""COMPUTED_VALUE"""),45818.66666666667)</f>
        <v>45818.66667</v>
      </c>
      <c r="B243" s="5">
        <f>IFERROR(__xludf.DUMMYFUNCTION("""COMPUTED_VALUE"""),314.94)</f>
        <v>314.94</v>
      </c>
      <c r="C243" s="5">
        <f>IFERROR(__xludf.DUMMYFUNCTION("""COMPUTED_VALUE"""),327.83)</f>
        <v>327.83</v>
      </c>
      <c r="D243" s="5">
        <f>IFERROR(__xludf.DUMMYFUNCTION("""COMPUTED_VALUE"""),310.67)</f>
        <v>310.67</v>
      </c>
      <c r="E243" s="5">
        <f>IFERROR(__xludf.DUMMYFUNCTION("""COMPUTED_VALUE"""),326.09)</f>
        <v>326.09</v>
      </c>
      <c r="F243" s="5">
        <f>IFERROR(__xludf.DUMMYFUNCTION("""COMPUTED_VALUE"""),1.5125652E8)</f>
        <v>151256520</v>
      </c>
    </row>
    <row r="244">
      <c r="A244" s="7">
        <f>IFERROR(__xludf.DUMMYFUNCTION("""COMPUTED_VALUE"""),45819.66666666667)</f>
        <v>45819.66667</v>
      </c>
      <c r="B244" s="5">
        <f>IFERROR(__xludf.DUMMYFUNCTION("""COMPUTED_VALUE"""),334.4)</f>
        <v>334.4</v>
      </c>
      <c r="C244" s="5">
        <f>IFERROR(__xludf.DUMMYFUNCTION("""COMPUTED_VALUE"""),335.5)</f>
        <v>335.5</v>
      </c>
      <c r="D244" s="5">
        <f>IFERROR(__xludf.DUMMYFUNCTION("""COMPUTED_VALUE"""),322.5)</f>
        <v>322.5</v>
      </c>
      <c r="E244" s="5">
        <f>IFERROR(__xludf.DUMMYFUNCTION("""COMPUTED_VALUE"""),326.43)</f>
        <v>326.43</v>
      </c>
      <c r="F244" s="5">
        <f>IFERROR(__xludf.DUMMYFUNCTION("""COMPUTED_VALUE"""),1.2261136E8)</f>
        <v>122611360</v>
      </c>
    </row>
    <row r="245">
      <c r="A245" s="7">
        <f>IFERROR(__xludf.DUMMYFUNCTION("""COMPUTED_VALUE"""),45820.66666666667)</f>
        <v>45820.66667</v>
      </c>
      <c r="B245" s="5">
        <f>IFERROR(__xludf.DUMMYFUNCTION("""COMPUTED_VALUE"""),323.08)</f>
        <v>323.08</v>
      </c>
      <c r="C245" s="5">
        <f>IFERROR(__xludf.DUMMYFUNCTION("""COMPUTED_VALUE"""),332.56)</f>
        <v>332.56</v>
      </c>
      <c r="D245" s="5">
        <f>IFERROR(__xludf.DUMMYFUNCTION("""COMPUTED_VALUE"""),316.86)</f>
        <v>316.86</v>
      </c>
      <c r="E245" s="5">
        <f>IFERROR(__xludf.DUMMYFUNCTION("""COMPUTED_VALUE"""),319.11)</f>
        <v>319.11</v>
      </c>
      <c r="F245" s="5">
        <f>IFERROR(__xludf.DUMMYFUNCTION("""COMPUTED_VALUE"""),1.05127536E8)</f>
        <v>105127536</v>
      </c>
    </row>
    <row r="246">
      <c r="A246" s="7">
        <f>IFERROR(__xludf.DUMMYFUNCTION("""COMPUTED_VALUE"""),45821.66666666667)</f>
        <v>45821.66667</v>
      </c>
      <c r="B246" s="5">
        <f>IFERROR(__xludf.DUMMYFUNCTION("""COMPUTED_VALUE"""),313.97)</f>
        <v>313.97</v>
      </c>
      <c r="C246" s="5">
        <f>IFERROR(__xludf.DUMMYFUNCTION("""COMPUTED_VALUE"""),332.99)</f>
        <v>332.99</v>
      </c>
      <c r="D246" s="5">
        <f>IFERROR(__xludf.DUMMYFUNCTION("""COMPUTED_VALUE"""),313.3)</f>
        <v>313.3</v>
      </c>
      <c r="E246" s="5">
        <f>IFERROR(__xludf.DUMMYFUNCTION("""COMPUTED_VALUE"""),325.31)</f>
        <v>325.31</v>
      </c>
      <c r="F246" s="5">
        <f>IFERROR(__xludf.DUMMYFUNCTION("""COMPUTED_VALUE"""),1.28964279E8)</f>
        <v>128964279</v>
      </c>
    </row>
    <row r="247">
      <c r="A247" s="7">
        <f>IFERROR(__xludf.DUMMYFUNCTION("""COMPUTED_VALUE"""),45824.66666666667)</f>
        <v>45824.66667</v>
      </c>
      <c r="B247" s="5">
        <f>IFERROR(__xludf.DUMMYFUNCTION("""COMPUTED_VALUE"""),331.29)</f>
        <v>331.29</v>
      </c>
      <c r="C247" s="5">
        <f>IFERROR(__xludf.DUMMYFUNCTION("""COMPUTED_VALUE"""),332.05)</f>
        <v>332.05</v>
      </c>
      <c r="D247" s="5">
        <f>IFERROR(__xludf.DUMMYFUNCTION("""COMPUTED_VALUE"""),326.41)</f>
        <v>326.41</v>
      </c>
      <c r="E247" s="5">
        <f>IFERROR(__xludf.DUMMYFUNCTION("""COMPUTED_VALUE"""),329.13)</f>
        <v>329.13</v>
      </c>
      <c r="F247" s="5">
        <f>IFERROR(__xludf.DUMMYFUNCTION("""COMPUTED_VALUE"""),8.3925858E7)</f>
        <v>83925858</v>
      </c>
    </row>
    <row r="248">
      <c r="A248" s="7">
        <f>IFERROR(__xludf.DUMMYFUNCTION("""COMPUTED_VALUE"""),45825.66666666667)</f>
        <v>45825.66667</v>
      </c>
      <c r="B248" s="5">
        <f>IFERROR(__xludf.DUMMYFUNCTION("""COMPUTED_VALUE"""),326.09)</f>
        <v>326.09</v>
      </c>
      <c r="C248" s="5">
        <f>IFERROR(__xludf.DUMMYFUNCTION("""COMPUTED_VALUE"""),327.26)</f>
        <v>327.26</v>
      </c>
      <c r="D248" s="5">
        <f>IFERROR(__xludf.DUMMYFUNCTION("""COMPUTED_VALUE"""),314.74)</f>
        <v>314.74</v>
      </c>
      <c r="E248" s="5">
        <f>IFERROR(__xludf.DUMMYFUNCTION("""COMPUTED_VALUE"""),316.35)</f>
        <v>316.35</v>
      </c>
      <c r="F248" s="5">
        <f>IFERROR(__xludf.DUMMYFUNCTION("""COMPUTED_VALUE"""),8.8282669E7)</f>
        <v>88282669</v>
      </c>
    </row>
    <row r="249">
      <c r="A249" s="7">
        <f>IFERROR(__xludf.DUMMYFUNCTION("""COMPUTED_VALUE"""),45826.66666666667)</f>
        <v>45826.66667</v>
      </c>
      <c r="B249" s="5">
        <f>IFERROR(__xludf.DUMMYFUNCTION("""COMPUTED_VALUE"""),317.31)</f>
        <v>317.31</v>
      </c>
      <c r="C249" s="5">
        <f>IFERROR(__xludf.DUMMYFUNCTION("""COMPUTED_VALUE"""),329.32)</f>
        <v>329.32</v>
      </c>
      <c r="D249" s="5">
        <f>IFERROR(__xludf.DUMMYFUNCTION("""COMPUTED_VALUE"""),315.45)</f>
        <v>315.45</v>
      </c>
      <c r="E249" s="5">
        <f>IFERROR(__xludf.DUMMYFUNCTION("""COMPUTED_VALUE"""),322.05)</f>
        <v>322.05</v>
      </c>
      <c r="F249" s="5">
        <f>IFERROR(__xludf.DUMMYFUNCTION("""COMPUTED_VALUE"""),9.5137686E7)</f>
        <v>95137686</v>
      </c>
    </row>
    <row r="250">
      <c r="A250" s="7">
        <f>IFERROR(__xludf.DUMMYFUNCTION("""COMPUTED_VALUE"""),45828.66666666667)</f>
        <v>45828.66667</v>
      </c>
      <c r="B250" s="5">
        <f>IFERROR(__xludf.DUMMYFUNCTION("""COMPUTED_VALUE"""),327.95)</f>
        <v>327.95</v>
      </c>
      <c r="C250" s="5">
        <f>IFERROR(__xludf.DUMMYFUNCTION("""COMPUTED_VALUE"""),332.36)</f>
        <v>332.36</v>
      </c>
      <c r="D250" s="5">
        <f>IFERROR(__xludf.DUMMYFUNCTION("""COMPUTED_VALUE"""),317.78)</f>
        <v>317.78</v>
      </c>
      <c r="E250" s="5">
        <f>IFERROR(__xludf.DUMMYFUNCTION("""COMPUTED_VALUE"""),322.16)</f>
        <v>322.16</v>
      </c>
      <c r="F250" s="5">
        <f>IFERROR(__xludf.DUMMYFUNCTION("""COMPUTED_VALUE"""),1.08688008E8)</f>
        <v>108688008</v>
      </c>
    </row>
    <row r="251">
      <c r="A251" s="7">
        <f>IFERROR(__xludf.DUMMYFUNCTION("""COMPUTED_VALUE"""),45831.66666666667)</f>
        <v>45831.66667</v>
      </c>
      <c r="B251" s="5">
        <f>IFERROR(__xludf.DUMMYFUNCTION("""COMPUTED_VALUE"""),327.54)</f>
        <v>327.54</v>
      </c>
      <c r="C251" s="5">
        <f>IFERROR(__xludf.DUMMYFUNCTION("""COMPUTED_VALUE"""),357.54)</f>
        <v>357.54</v>
      </c>
      <c r="D251" s="5">
        <f>IFERROR(__xludf.DUMMYFUNCTION("""COMPUTED_VALUE"""),327.48)</f>
        <v>327.48</v>
      </c>
      <c r="E251" s="5">
        <f>IFERROR(__xludf.DUMMYFUNCTION("""COMPUTED_VALUE"""),348.68)</f>
        <v>348.68</v>
      </c>
      <c r="F251" s="5">
        <f>IFERROR(__xludf.DUMMYFUNCTION("""COMPUTED_VALUE"""),1.90716815E8)</f>
        <v>190716815</v>
      </c>
    </row>
    <row r="252">
      <c r="A252" s="7">
        <f>IFERROR(__xludf.DUMMYFUNCTION("""COMPUTED_VALUE"""),45832.66666666667)</f>
        <v>45832.66667</v>
      </c>
      <c r="B252" s="5">
        <f>IFERROR(__xludf.DUMMYFUNCTION("""COMPUTED_VALUE"""),356.17)</f>
        <v>356.17</v>
      </c>
      <c r="C252" s="5">
        <f>IFERROR(__xludf.DUMMYFUNCTION("""COMPUTED_VALUE"""),356.26)</f>
        <v>356.26</v>
      </c>
      <c r="D252" s="5">
        <f>IFERROR(__xludf.DUMMYFUNCTION("""COMPUTED_VALUE"""),340.44)</f>
        <v>340.44</v>
      </c>
      <c r="E252" s="5">
        <f>IFERROR(__xludf.DUMMYFUNCTION("""COMPUTED_VALUE"""),340.47)</f>
        <v>340.47</v>
      </c>
      <c r="F252" s="5">
        <f>IFERROR(__xludf.DUMMYFUNCTION("""COMPUTED_VALUE"""),1.14736245E8)</f>
        <v>114736245</v>
      </c>
    </row>
    <row r="253">
      <c r="A253" s="7">
        <f>IFERROR(__xludf.DUMMYFUNCTION("""COMPUTED_VALUE"""),45833.66666666667)</f>
        <v>45833.66667</v>
      </c>
      <c r="B253" s="5">
        <f>IFERROR(__xludf.DUMMYFUNCTION("""COMPUTED_VALUE"""),342.7)</f>
        <v>342.7</v>
      </c>
      <c r="C253" s="5">
        <f>IFERROR(__xludf.DUMMYFUNCTION("""COMPUTED_VALUE"""),343.0)</f>
        <v>343</v>
      </c>
      <c r="D253" s="5">
        <f>IFERROR(__xludf.DUMMYFUNCTION("""COMPUTED_VALUE"""),320.4)</f>
        <v>320.4</v>
      </c>
      <c r="E253" s="5">
        <f>IFERROR(__xludf.DUMMYFUNCTION("""COMPUTED_VALUE"""),327.55)</f>
        <v>327.55</v>
      </c>
      <c r="F253" s="5">
        <f>IFERROR(__xludf.DUMMYFUNCTION("""COMPUTED_VALUE"""),1.1984505E8)</f>
        <v>119845050</v>
      </c>
    </row>
    <row r="254">
      <c r="A254" s="7">
        <f>IFERROR(__xludf.DUMMYFUNCTION("""COMPUTED_VALUE"""),45834.66666666667)</f>
        <v>45834.66667</v>
      </c>
      <c r="B254" s="5">
        <f>IFERROR(__xludf.DUMMYFUNCTION("""COMPUTED_VALUE"""),324.61)</f>
        <v>324.61</v>
      </c>
      <c r="C254" s="5">
        <f>IFERROR(__xludf.DUMMYFUNCTION("""COMPUTED_VALUE"""),331.05)</f>
        <v>331.05</v>
      </c>
      <c r="D254" s="5">
        <f>IFERROR(__xludf.DUMMYFUNCTION("""COMPUTED_VALUE"""),323.61)</f>
        <v>323.61</v>
      </c>
      <c r="E254" s="5">
        <f>IFERROR(__xludf.DUMMYFUNCTION("""COMPUTED_VALUE"""),325.78)</f>
        <v>325.78</v>
      </c>
      <c r="F254" s="5">
        <f>IFERROR(__xludf.DUMMYFUNCTION("""COMPUTED_VALUE"""),8.0440907E7)</f>
        <v>80440907</v>
      </c>
    </row>
    <row r="255">
      <c r="A255" s="7">
        <f>IFERROR(__xludf.DUMMYFUNCTION("""COMPUTED_VALUE"""),45835.66666666667)</f>
        <v>45835.66667</v>
      </c>
      <c r="B255" s="5">
        <f>IFERROR(__xludf.DUMMYFUNCTION("""COMPUTED_VALUE"""),324.51)</f>
        <v>324.51</v>
      </c>
      <c r="C255" s="5">
        <f>IFERROR(__xludf.DUMMYFUNCTION("""COMPUTED_VALUE"""),329.34)</f>
        <v>329.34</v>
      </c>
      <c r="D255" s="5">
        <f>IFERROR(__xludf.DUMMYFUNCTION("""COMPUTED_VALUE"""),317.5)</f>
        <v>317.5</v>
      </c>
      <c r="E255" s="5">
        <f>IFERROR(__xludf.DUMMYFUNCTION("""COMPUTED_VALUE"""),323.63)</f>
        <v>323.63</v>
      </c>
      <c r="F255" s="5">
        <f>IFERROR(__xludf.DUMMYFUNCTION("""COMPUTED_VALUE"""),8.9067049E7)</f>
        <v>89067049</v>
      </c>
    </row>
    <row r="256">
      <c r="A256" s="7">
        <f>IFERROR(__xludf.DUMMYFUNCTION("""COMPUTED_VALUE"""),45838.66666666667)</f>
        <v>45838.66667</v>
      </c>
      <c r="B256" s="5">
        <f>IFERROR(__xludf.DUMMYFUNCTION("""COMPUTED_VALUE"""),319.9)</f>
        <v>319.9</v>
      </c>
      <c r="C256" s="5">
        <f>IFERROR(__xludf.DUMMYFUNCTION("""COMPUTED_VALUE"""),325.58)</f>
        <v>325.58</v>
      </c>
      <c r="D256" s="5">
        <f>IFERROR(__xludf.DUMMYFUNCTION("""COMPUTED_VALUE"""),316.6)</f>
        <v>316.6</v>
      </c>
      <c r="E256" s="5">
        <f>IFERROR(__xludf.DUMMYFUNCTION("""COMPUTED_VALUE"""),317.66)</f>
        <v>317.66</v>
      </c>
      <c r="F256" s="5">
        <f>IFERROR(__xludf.DUMMYFUNCTION("""COMPUTED_VALUE"""),7.6695081E7)</f>
        <v>76695081</v>
      </c>
    </row>
    <row r="257">
      <c r="A257" s="7">
        <f>IFERROR(__xludf.DUMMYFUNCTION("""COMPUTED_VALUE"""),45839.66666666667)</f>
        <v>45839.66667</v>
      </c>
      <c r="B257" s="5">
        <f>IFERROR(__xludf.DUMMYFUNCTION("""COMPUTED_VALUE"""),298.46)</f>
        <v>298.46</v>
      </c>
      <c r="C257" s="5">
        <f>IFERROR(__xludf.DUMMYFUNCTION("""COMPUTED_VALUE"""),305.89)</f>
        <v>305.89</v>
      </c>
      <c r="D257" s="5">
        <f>IFERROR(__xludf.DUMMYFUNCTION("""COMPUTED_VALUE"""),293.21)</f>
        <v>293.21</v>
      </c>
      <c r="E257" s="5">
        <f>IFERROR(__xludf.DUMMYFUNCTION("""COMPUTED_VALUE"""),300.71)</f>
        <v>300.71</v>
      </c>
      <c r="F257" s="5">
        <f>IFERROR(__xludf.DUMMYFUNCTION("""COMPUTED_VALUE"""),1.45085665E8)</f>
        <v>145085665</v>
      </c>
    </row>
    <row r="258">
      <c r="A258" s="7">
        <f>IFERROR(__xludf.DUMMYFUNCTION("""COMPUTED_VALUE"""),45840.66666666667)</f>
        <v>45840.66667</v>
      </c>
      <c r="B258" s="5">
        <f>IFERROR(__xludf.DUMMYFUNCTION("""COMPUTED_VALUE"""),312.63)</f>
        <v>312.63</v>
      </c>
      <c r="C258" s="5">
        <f>IFERROR(__xludf.DUMMYFUNCTION("""COMPUTED_VALUE"""),316.83)</f>
        <v>316.83</v>
      </c>
      <c r="D258" s="5">
        <f>IFERROR(__xludf.DUMMYFUNCTION("""COMPUTED_VALUE"""),303.82)</f>
        <v>303.82</v>
      </c>
      <c r="E258" s="5">
        <f>IFERROR(__xludf.DUMMYFUNCTION("""COMPUTED_VALUE"""),315.65)</f>
        <v>315.65</v>
      </c>
      <c r="F258" s="5">
        <f>IFERROR(__xludf.DUMMYFUNCTION("""COMPUTED_VALUE"""),1.1948373E8)</f>
        <v>119483730</v>
      </c>
    </row>
    <row r="259">
      <c r="A259" s="7">
        <f>IFERROR(__xludf.DUMMYFUNCTION("""COMPUTED_VALUE"""),45841.54513888889)</f>
        <v>45841.54514</v>
      </c>
      <c r="B259" s="5">
        <f>IFERROR(__xludf.DUMMYFUNCTION("""COMPUTED_VALUE"""),317.99)</f>
        <v>317.99</v>
      </c>
      <c r="C259" s="5">
        <f>IFERROR(__xludf.DUMMYFUNCTION("""COMPUTED_VALUE"""),318.45)</f>
        <v>318.45</v>
      </c>
      <c r="D259" s="5">
        <f>IFERROR(__xludf.DUMMYFUNCTION("""COMPUTED_VALUE"""),312.76)</f>
        <v>312.76</v>
      </c>
      <c r="E259" s="5">
        <f>IFERROR(__xludf.DUMMYFUNCTION("""COMPUTED_VALUE"""),315.35)</f>
        <v>315.35</v>
      </c>
      <c r="F259" s="5">
        <f>IFERROR(__xludf.DUMMYFUNCTION("""COMPUTED_VALUE"""),5.8042302E7)</f>
        <v>58042302</v>
      </c>
    </row>
    <row r="260">
      <c r="A260" s="7">
        <f>IFERROR(__xludf.DUMMYFUNCTION("""COMPUTED_VALUE"""),45845.66666666667)</f>
        <v>45845.66667</v>
      </c>
      <c r="B260" s="5">
        <f>IFERROR(__xludf.DUMMYFUNCTION("""COMPUTED_VALUE"""),291.37)</f>
        <v>291.37</v>
      </c>
      <c r="C260" s="5">
        <f>IFERROR(__xludf.DUMMYFUNCTION("""COMPUTED_VALUE"""),296.15)</f>
        <v>296.15</v>
      </c>
      <c r="D260" s="5">
        <f>IFERROR(__xludf.DUMMYFUNCTION("""COMPUTED_VALUE"""),288.77)</f>
        <v>288.77</v>
      </c>
      <c r="E260" s="5">
        <f>IFERROR(__xludf.DUMMYFUNCTION("""COMPUTED_VALUE"""),293.94)</f>
        <v>293.94</v>
      </c>
      <c r="F260" s="5">
        <f>IFERROR(__xludf.DUMMYFUNCTION("""COMPUTED_VALUE"""),1.31177949E8)</f>
        <v>131177949</v>
      </c>
    </row>
    <row r="261">
      <c r="A261" s="7">
        <f>IFERROR(__xludf.DUMMYFUNCTION("""COMPUTED_VALUE"""),45846.66666666667)</f>
        <v>45846.66667</v>
      </c>
      <c r="B261" s="5">
        <f>IFERROR(__xludf.DUMMYFUNCTION("""COMPUTED_VALUE"""),297.0)</f>
        <v>297</v>
      </c>
      <c r="C261" s="5">
        <f>IFERROR(__xludf.DUMMYFUNCTION("""COMPUTED_VALUE"""),304.05)</f>
        <v>304.05</v>
      </c>
      <c r="D261" s="5">
        <f>IFERROR(__xludf.DUMMYFUNCTION("""COMPUTED_VALUE"""),294.35)</f>
        <v>294.35</v>
      </c>
      <c r="E261" s="5">
        <f>IFERROR(__xludf.DUMMYFUNCTION("""COMPUTED_VALUE"""),297.81)</f>
        <v>297.81</v>
      </c>
      <c r="F261" s="5">
        <f>IFERROR(__xludf.DUMMYFUNCTION("""COMPUTED_VALUE"""),1.03246742E8)</f>
        <v>103246742</v>
      </c>
    </row>
    <row r="262">
      <c r="A262" s="7">
        <f>IFERROR(__xludf.DUMMYFUNCTION("""COMPUTED_VALUE"""),45847.66666666667)</f>
        <v>45847.66667</v>
      </c>
      <c r="B262" s="5">
        <f>IFERROR(__xludf.DUMMYFUNCTION("""COMPUTED_VALUE"""),297.55)</f>
        <v>297.55</v>
      </c>
      <c r="C262" s="5">
        <f>IFERROR(__xludf.DUMMYFUNCTION("""COMPUTED_VALUE"""),300.15)</f>
        <v>300.15</v>
      </c>
      <c r="D262" s="5">
        <f>IFERROR(__xludf.DUMMYFUNCTION("""COMPUTED_VALUE"""),293.55)</f>
        <v>293.55</v>
      </c>
      <c r="E262" s="5">
        <f>IFERROR(__xludf.DUMMYFUNCTION("""COMPUTED_VALUE"""),295.88)</f>
        <v>295.88</v>
      </c>
      <c r="F262" s="5">
        <f>IFERROR(__xludf.DUMMYFUNCTION("""COMPUTED_VALUE"""),7.5586771E7)</f>
        <v>75586771</v>
      </c>
    </row>
    <row r="263">
      <c r="A263" s="7">
        <f>IFERROR(__xludf.DUMMYFUNCTION("""COMPUTED_VALUE"""),45848.66666666667)</f>
        <v>45848.66667</v>
      </c>
      <c r="B263" s="5">
        <f>IFERROR(__xludf.DUMMYFUNCTION("""COMPUTED_VALUE"""),300.05)</f>
        <v>300.05</v>
      </c>
      <c r="C263" s="5">
        <f>IFERROR(__xludf.DUMMYFUNCTION("""COMPUTED_VALUE"""),310.48)</f>
        <v>310.48</v>
      </c>
      <c r="D263" s="5">
        <f>IFERROR(__xludf.DUMMYFUNCTION("""COMPUTED_VALUE"""),300.0)</f>
        <v>300</v>
      </c>
      <c r="E263" s="5">
        <f>IFERROR(__xludf.DUMMYFUNCTION("""COMPUTED_VALUE"""),309.87)</f>
        <v>309.87</v>
      </c>
      <c r="F263" s="5">
        <f>IFERROR(__xludf.DUMMYFUNCTION("""COMPUTED_VALUE"""),1.04365271E8)</f>
        <v>104365271</v>
      </c>
    </row>
    <row r="264">
      <c r="A264" s="7">
        <f>IFERROR(__xludf.DUMMYFUNCTION("""COMPUTED_VALUE"""),45849.66666666667)</f>
        <v>45849.66667</v>
      </c>
      <c r="B264" s="5">
        <f>IFERROR(__xludf.DUMMYFUNCTION("""COMPUTED_VALUE"""),307.89)</f>
        <v>307.89</v>
      </c>
      <c r="C264" s="5">
        <f>IFERROR(__xludf.DUMMYFUNCTION("""COMPUTED_VALUE"""),314.09)</f>
        <v>314.09</v>
      </c>
      <c r="D264" s="5">
        <f>IFERROR(__xludf.DUMMYFUNCTION("""COMPUTED_VALUE"""),305.65)</f>
        <v>305.65</v>
      </c>
      <c r="E264" s="5">
        <f>IFERROR(__xludf.DUMMYFUNCTION("""COMPUTED_VALUE"""),313.51)</f>
        <v>313.51</v>
      </c>
      <c r="F264" s="5">
        <f>IFERROR(__xludf.DUMMYFUNCTION("""COMPUTED_VALUE"""),7.9236442E7)</f>
        <v>79236442</v>
      </c>
    </row>
    <row r="265">
      <c r="A265" s="7">
        <f>IFERROR(__xludf.DUMMYFUNCTION("""COMPUTED_VALUE"""),45852.66666666667)</f>
        <v>45852.66667</v>
      </c>
      <c r="B265" s="5">
        <f>IFERROR(__xludf.DUMMYFUNCTION("""COMPUTED_VALUE"""),317.73)</f>
        <v>317.73</v>
      </c>
      <c r="C265" s="5">
        <f>IFERROR(__xludf.DUMMYFUNCTION("""COMPUTED_VALUE"""),322.6)</f>
        <v>322.6</v>
      </c>
      <c r="D265" s="5">
        <f>IFERROR(__xludf.DUMMYFUNCTION("""COMPUTED_VALUE"""),312.67)</f>
        <v>312.67</v>
      </c>
      <c r="E265" s="5">
        <f>IFERROR(__xludf.DUMMYFUNCTION("""COMPUTED_VALUE"""),316.9)</f>
        <v>316.9</v>
      </c>
      <c r="F265" s="5">
        <f>IFERROR(__xludf.DUMMYFUNCTION("""COMPUTED_VALUE"""),7.804343E7)</f>
        <v>78043430</v>
      </c>
    </row>
    <row r="266">
      <c r="A266" s="7">
        <f>IFERROR(__xludf.DUMMYFUNCTION("""COMPUTED_VALUE"""),45853.66666666667)</f>
        <v>45853.66667</v>
      </c>
      <c r="B266" s="5">
        <f>IFERROR(__xludf.DUMMYFUNCTION("""COMPUTED_VALUE"""),319.68)</f>
        <v>319.68</v>
      </c>
      <c r="C266" s="5">
        <f>IFERROR(__xludf.DUMMYFUNCTION("""COMPUTED_VALUE"""),321.2)</f>
        <v>321.2</v>
      </c>
      <c r="D266" s="5">
        <f>IFERROR(__xludf.DUMMYFUNCTION("""COMPUTED_VALUE"""),310.5)</f>
        <v>310.5</v>
      </c>
      <c r="E266" s="5">
        <f>IFERROR(__xludf.DUMMYFUNCTION("""COMPUTED_VALUE"""),310.78)</f>
        <v>310.78</v>
      </c>
      <c r="F266" s="5">
        <f>IFERROR(__xludf.DUMMYFUNCTION("""COMPUTED_VALUE"""),7.7556346E7)</f>
        <v>77556346</v>
      </c>
    </row>
    <row r="267">
      <c r="A267" s="7">
        <f>IFERROR(__xludf.DUMMYFUNCTION("""COMPUTED_VALUE"""),45854.66666666667)</f>
        <v>45854.66667</v>
      </c>
      <c r="B267" s="5">
        <f>IFERROR(__xludf.DUMMYFUNCTION("""COMPUTED_VALUE"""),312.8)</f>
        <v>312.8</v>
      </c>
      <c r="C267" s="5">
        <f>IFERROR(__xludf.DUMMYFUNCTION("""COMPUTED_VALUE"""),323.5)</f>
        <v>323.5</v>
      </c>
      <c r="D267" s="5">
        <f>IFERROR(__xludf.DUMMYFUNCTION("""COMPUTED_VALUE"""),312.62)</f>
        <v>312.62</v>
      </c>
      <c r="E267" s="5">
        <f>IFERROR(__xludf.DUMMYFUNCTION("""COMPUTED_VALUE"""),321.67)</f>
        <v>321.67</v>
      </c>
      <c r="F267" s="5">
        <f>IFERROR(__xludf.DUMMYFUNCTION("""COMPUTED_VALUE"""),9.7284786E7)</f>
        <v>97284786</v>
      </c>
    </row>
    <row r="268">
      <c r="A268" s="7">
        <f>IFERROR(__xludf.DUMMYFUNCTION("""COMPUTED_VALUE"""),45855.66666666667)</f>
        <v>45855.66667</v>
      </c>
      <c r="B268" s="5">
        <f>IFERROR(__xludf.DUMMYFUNCTION("""COMPUTED_VALUE"""),323.15)</f>
        <v>323.15</v>
      </c>
      <c r="C268" s="5">
        <f>IFERROR(__xludf.DUMMYFUNCTION("""COMPUTED_VALUE"""),324.34)</f>
        <v>324.34</v>
      </c>
      <c r="D268" s="5">
        <f>IFERROR(__xludf.DUMMYFUNCTION("""COMPUTED_VALUE"""),317.06)</f>
        <v>317.06</v>
      </c>
      <c r="E268" s="5">
        <f>IFERROR(__xludf.DUMMYFUNCTION("""COMPUTED_VALUE"""),319.41)</f>
        <v>319.41</v>
      </c>
      <c r="F268" s="5">
        <f>IFERROR(__xludf.DUMMYFUNCTION("""COMPUTED_VALUE"""),7.392287E7)</f>
        <v>73922870</v>
      </c>
    </row>
    <row r="269">
      <c r="A269" s="7">
        <f>IFERROR(__xludf.DUMMYFUNCTION("""COMPUTED_VALUE"""),45856.66666666667)</f>
        <v>45856.66667</v>
      </c>
      <c r="B269" s="5">
        <f>IFERROR(__xludf.DUMMYFUNCTION("""COMPUTED_VALUE"""),321.66)</f>
        <v>321.66</v>
      </c>
      <c r="C269" s="5">
        <f>IFERROR(__xludf.DUMMYFUNCTION("""COMPUTED_VALUE"""),330.9)</f>
        <v>330.9</v>
      </c>
      <c r="D269" s="5">
        <f>IFERROR(__xludf.DUMMYFUNCTION("""COMPUTED_VALUE"""),321.42)</f>
        <v>321.42</v>
      </c>
      <c r="E269" s="5">
        <f>IFERROR(__xludf.DUMMYFUNCTION("""COMPUTED_VALUE"""),329.65)</f>
        <v>329.65</v>
      </c>
      <c r="F269" s="5">
        <f>IFERROR(__xludf.DUMMYFUNCTION("""COMPUTED_VALUE"""),9.4254993E7)</f>
        <v>94254993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tr">
        <f>IFERROR(__xludf.DUMMYFUNCTION("GOOGLEFINANCE(""NASDAQ:AAPL"", ""ALL"", DATE(2024,7,1), DATE(2025,7,20), ""DAILY"")"),"Date")</f>
        <v>Date</v>
      </c>
      <c r="B1" s="5" t="str">
        <f>IFERROR(__xludf.DUMMYFUNCTION("""COMPUTED_VALUE"""),"Open")</f>
        <v>Open</v>
      </c>
      <c r="C1" s="5" t="str">
        <f>IFERROR(__xludf.DUMMYFUNCTION("""COMPUTED_VALUE"""),"High")</f>
        <v>High</v>
      </c>
      <c r="D1" s="5" t="str">
        <f>IFERROR(__xludf.DUMMYFUNCTION("""COMPUTED_VALUE"""),"Low")</f>
        <v>Low</v>
      </c>
      <c r="E1" s="5" t="str">
        <f>IFERROR(__xludf.DUMMYFUNCTION("""COMPUTED_VALUE"""),"Close")</f>
        <v>Close</v>
      </c>
      <c r="F1" s="5" t="str">
        <f>IFERROR(__xludf.DUMMYFUNCTION("""COMPUTED_VALUE"""),"Volume")</f>
        <v>Volume</v>
      </c>
    </row>
    <row r="2">
      <c r="A2" s="7">
        <f>IFERROR(__xludf.DUMMYFUNCTION("""COMPUTED_VALUE"""),45474.66666666667)</f>
        <v>45474.66667</v>
      </c>
      <c r="B2" s="5">
        <f>IFERROR(__xludf.DUMMYFUNCTION("""COMPUTED_VALUE"""),212.09)</f>
        <v>212.09</v>
      </c>
      <c r="C2" s="5">
        <f>IFERROR(__xludf.DUMMYFUNCTION("""COMPUTED_VALUE"""),217.51)</f>
        <v>217.51</v>
      </c>
      <c r="D2" s="5">
        <f>IFERROR(__xludf.DUMMYFUNCTION("""COMPUTED_VALUE"""),211.92)</f>
        <v>211.92</v>
      </c>
      <c r="E2" s="5">
        <f>IFERROR(__xludf.DUMMYFUNCTION("""COMPUTED_VALUE"""),216.75)</f>
        <v>216.75</v>
      </c>
      <c r="F2" s="5">
        <f>IFERROR(__xludf.DUMMYFUNCTION("""COMPUTED_VALUE"""),6.0402929E7)</f>
        <v>60402929</v>
      </c>
    </row>
    <row r="3">
      <c r="A3" s="7">
        <f>IFERROR(__xludf.DUMMYFUNCTION("""COMPUTED_VALUE"""),45475.66666666667)</f>
        <v>45475.66667</v>
      </c>
      <c r="B3" s="5">
        <f>IFERROR(__xludf.DUMMYFUNCTION("""COMPUTED_VALUE"""),216.15)</f>
        <v>216.15</v>
      </c>
      <c r="C3" s="5">
        <f>IFERROR(__xludf.DUMMYFUNCTION("""COMPUTED_VALUE"""),220.38)</f>
        <v>220.38</v>
      </c>
      <c r="D3" s="5">
        <f>IFERROR(__xludf.DUMMYFUNCTION("""COMPUTED_VALUE"""),215.1)</f>
        <v>215.1</v>
      </c>
      <c r="E3" s="5">
        <f>IFERROR(__xludf.DUMMYFUNCTION("""COMPUTED_VALUE"""),220.27)</f>
        <v>220.27</v>
      </c>
      <c r="F3" s="5">
        <f>IFERROR(__xludf.DUMMYFUNCTION("""COMPUTED_VALUE"""),5.8046178E7)</f>
        <v>58046178</v>
      </c>
    </row>
    <row r="4">
      <c r="A4" s="7">
        <f>IFERROR(__xludf.DUMMYFUNCTION("""COMPUTED_VALUE"""),45476.54513888889)</f>
        <v>45476.54514</v>
      </c>
      <c r="B4" s="5">
        <f>IFERROR(__xludf.DUMMYFUNCTION("""COMPUTED_VALUE"""),220.0)</f>
        <v>220</v>
      </c>
      <c r="C4" s="5">
        <f>IFERROR(__xludf.DUMMYFUNCTION("""COMPUTED_VALUE"""),221.55)</f>
        <v>221.55</v>
      </c>
      <c r="D4" s="5">
        <f>IFERROR(__xludf.DUMMYFUNCTION("""COMPUTED_VALUE"""),219.03)</f>
        <v>219.03</v>
      </c>
      <c r="E4" s="5">
        <f>IFERROR(__xludf.DUMMYFUNCTION("""COMPUTED_VALUE"""),221.55)</f>
        <v>221.55</v>
      </c>
      <c r="F4" s="5">
        <f>IFERROR(__xludf.DUMMYFUNCTION("""COMPUTED_VALUE"""),3.7369801E7)</f>
        <v>37369801</v>
      </c>
    </row>
    <row r="5">
      <c r="A5" s="7">
        <f>IFERROR(__xludf.DUMMYFUNCTION("""COMPUTED_VALUE"""),45478.66666666667)</f>
        <v>45478.66667</v>
      </c>
      <c r="B5" s="5">
        <f>IFERROR(__xludf.DUMMYFUNCTION("""COMPUTED_VALUE"""),221.65)</f>
        <v>221.65</v>
      </c>
      <c r="C5" s="5">
        <f>IFERROR(__xludf.DUMMYFUNCTION("""COMPUTED_VALUE"""),226.45)</f>
        <v>226.45</v>
      </c>
      <c r="D5" s="5">
        <f>IFERROR(__xludf.DUMMYFUNCTION("""COMPUTED_VALUE"""),221.65)</f>
        <v>221.65</v>
      </c>
      <c r="E5" s="5">
        <f>IFERROR(__xludf.DUMMYFUNCTION("""COMPUTED_VALUE"""),226.34)</f>
        <v>226.34</v>
      </c>
      <c r="F5" s="5">
        <f>IFERROR(__xludf.DUMMYFUNCTION("""COMPUTED_VALUE"""),6.0412408E7)</f>
        <v>60412408</v>
      </c>
    </row>
    <row r="6">
      <c r="A6" s="7">
        <f>IFERROR(__xludf.DUMMYFUNCTION("""COMPUTED_VALUE"""),45481.66666666667)</f>
        <v>45481.66667</v>
      </c>
      <c r="B6" s="5">
        <f>IFERROR(__xludf.DUMMYFUNCTION("""COMPUTED_VALUE"""),227.09)</f>
        <v>227.09</v>
      </c>
      <c r="C6" s="5">
        <f>IFERROR(__xludf.DUMMYFUNCTION("""COMPUTED_VALUE"""),227.85)</f>
        <v>227.85</v>
      </c>
      <c r="D6" s="5">
        <f>IFERROR(__xludf.DUMMYFUNCTION("""COMPUTED_VALUE"""),223.25)</f>
        <v>223.25</v>
      </c>
      <c r="E6" s="5">
        <f>IFERROR(__xludf.DUMMYFUNCTION("""COMPUTED_VALUE"""),227.82)</f>
        <v>227.82</v>
      </c>
      <c r="F6" s="5">
        <f>IFERROR(__xludf.DUMMYFUNCTION("""COMPUTED_VALUE"""),5.9085861E7)</f>
        <v>59085861</v>
      </c>
    </row>
    <row r="7">
      <c r="A7" s="7">
        <f>IFERROR(__xludf.DUMMYFUNCTION("""COMPUTED_VALUE"""),45482.66666666667)</f>
        <v>45482.66667</v>
      </c>
      <c r="B7" s="5">
        <f>IFERROR(__xludf.DUMMYFUNCTION("""COMPUTED_VALUE"""),227.93)</f>
        <v>227.93</v>
      </c>
      <c r="C7" s="5">
        <f>IFERROR(__xludf.DUMMYFUNCTION("""COMPUTED_VALUE"""),229.4)</f>
        <v>229.4</v>
      </c>
      <c r="D7" s="5">
        <f>IFERROR(__xludf.DUMMYFUNCTION("""COMPUTED_VALUE"""),226.37)</f>
        <v>226.37</v>
      </c>
      <c r="E7" s="5">
        <f>IFERROR(__xludf.DUMMYFUNCTION("""COMPUTED_VALUE"""),228.68)</f>
        <v>228.68</v>
      </c>
      <c r="F7" s="5">
        <f>IFERROR(__xludf.DUMMYFUNCTION("""COMPUTED_VALUE"""),4.8169822E7)</f>
        <v>48169822</v>
      </c>
    </row>
    <row r="8">
      <c r="A8" s="7">
        <f>IFERROR(__xludf.DUMMYFUNCTION("""COMPUTED_VALUE"""),45483.66666666667)</f>
        <v>45483.66667</v>
      </c>
      <c r="B8" s="5">
        <f>IFERROR(__xludf.DUMMYFUNCTION("""COMPUTED_VALUE"""),229.3)</f>
        <v>229.3</v>
      </c>
      <c r="C8" s="5">
        <f>IFERROR(__xludf.DUMMYFUNCTION("""COMPUTED_VALUE"""),233.08)</f>
        <v>233.08</v>
      </c>
      <c r="D8" s="5">
        <f>IFERROR(__xludf.DUMMYFUNCTION("""COMPUTED_VALUE"""),229.25)</f>
        <v>229.25</v>
      </c>
      <c r="E8" s="5">
        <f>IFERROR(__xludf.DUMMYFUNCTION("""COMPUTED_VALUE"""),232.98)</f>
        <v>232.98</v>
      </c>
      <c r="F8" s="5">
        <f>IFERROR(__xludf.DUMMYFUNCTION("""COMPUTED_VALUE"""),6.2627687E7)</f>
        <v>62627687</v>
      </c>
    </row>
    <row r="9">
      <c r="A9" s="7">
        <f>IFERROR(__xludf.DUMMYFUNCTION("""COMPUTED_VALUE"""),45484.66666666667)</f>
        <v>45484.66667</v>
      </c>
      <c r="B9" s="5">
        <f>IFERROR(__xludf.DUMMYFUNCTION("""COMPUTED_VALUE"""),231.39)</f>
        <v>231.39</v>
      </c>
      <c r="C9" s="5">
        <f>IFERROR(__xludf.DUMMYFUNCTION("""COMPUTED_VALUE"""),232.39)</f>
        <v>232.39</v>
      </c>
      <c r="D9" s="5">
        <f>IFERROR(__xludf.DUMMYFUNCTION("""COMPUTED_VALUE"""),225.77)</f>
        <v>225.77</v>
      </c>
      <c r="E9" s="5">
        <f>IFERROR(__xludf.DUMMYFUNCTION("""COMPUTED_VALUE"""),227.57)</f>
        <v>227.57</v>
      </c>
      <c r="F9" s="5">
        <f>IFERROR(__xludf.DUMMYFUNCTION("""COMPUTED_VALUE"""),6.4710617E7)</f>
        <v>64710617</v>
      </c>
    </row>
    <row r="10">
      <c r="A10" s="7">
        <f>IFERROR(__xludf.DUMMYFUNCTION("""COMPUTED_VALUE"""),45485.66666666667)</f>
        <v>45485.66667</v>
      </c>
      <c r="B10" s="5">
        <f>IFERROR(__xludf.DUMMYFUNCTION("""COMPUTED_VALUE"""),228.92)</f>
        <v>228.92</v>
      </c>
      <c r="C10" s="5">
        <f>IFERROR(__xludf.DUMMYFUNCTION("""COMPUTED_VALUE"""),232.64)</f>
        <v>232.64</v>
      </c>
      <c r="D10" s="5">
        <f>IFERROR(__xludf.DUMMYFUNCTION("""COMPUTED_VALUE"""),228.68)</f>
        <v>228.68</v>
      </c>
      <c r="E10" s="5">
        <f>IFERROR(__xludf.DUMMYFUNCTION("""COMPUTED_VALUE"""),230.54)</f>
        <v>230.54</v>
      </c>
      <c r="F10" s="5">
        <f>IFERROR(__xludf.DUMMYFUNCTION("""COMPUTED_VALUE"""),5.3046527E7)</f>
        <v>53046527</v>
      </c>
    </row>
    <row r="11">
      <c r="A11" s="7">
        <f>IFERROR(__xludf.DUMMYFUNCTION("""COMPUTED_VALUE"""),45488.66666666667)</f>
        <v>45488.66667</v>
      </c>
      <c r="B11" s="5">
        <f>IFERROR(__xludf.DUMMYFUNCTION("""COMPUTED_VALUE"""),236.48)</f>
        <v>236.48</v>
      </c>
      <c r="C11" s="5">
        <f>IFERROR(__xludf.DUMMYFUNCTION("""COMPUTED_VALUE"""),237.23)</f>
        <v>237.23</v>
      </c>
      <c r="D11" s="5">
        <f>IFERROR(__xludf.DUMMYFUNCTION("""COMPUTED_VALUE"""),233.09)</f>
        <v>233.09</v>
      </c>
      <c r="E11" s="5">
        <f>IFERROR(__xludf.DUMMYFUNCTION("""COMPUTED_VALUE"""),234.4)</f>
        <v>234.4</v>
      </c>
      <c r="F11" s="5">
        <f>IFERROR(__xludf.DUMMYFUNCTION("""COMPUTED_VALUE"""),6.2631252E7)</f>
        <v>62631252</v>
      </c>
    </row>
    <row r="12">
      <c r="A12" s="7">
        <f>IFERROR(__xludf.DUMMYFUNCTION("""COMPUTED_VALUE"""),45489.66666666667)</f>
        <v>45489.66667</v>
      </c>
      <c r="B12" s="5">
        <f>IFERROR(__xludf.DUMMYFUNCTION("""COMPUTED_VALUE"""),235.0)</f>
        <v>235</v>
      </c>
      <c r="C12" s="5">
        <f>IFERROR(__xludf.DUMMYFUNCTION("""COMPUTED_VALUE"""),236.27)</f>
        <v>236.27</v>
      </c>
      <c r="D12" s="5">
        <f>IFERROR(__xludf.DUMMYFUNCTION("""COMPUTED_VALUE"""),232.33)</f>
        <v>232.33</v>
      </c>
      <c r="E12" s="5">
        <f>IFERROR(__xludf.DUMMYFUNCTION("""COMPUTED_VALUE"""),234.82)</f>
        <v>234.82</v>
      </c>
      <c r="F12" s="5">
        <f>IFERROR(__xludf.DUMMYFUNCTION("""COMPUTED_VALUE"""),4.3234278E7)</f>
        <v>43234278</v>
      </c>
    </row>
    <row r="13">
      <c r="A13" s="7">
        <f>IFERROR(__xludf.DUMMYFUNCTION("""COMPUTED_VALUE"""),45490.66666666667)</f>
        <v>45490.66667</v>
      </c>
      <c r="B13" s="5">
        <f>IFERROR(__xludf.DUMMYFUNCTION("""COMPUTED_VALUE"""),229.45)</f>
        <v>229.45</v>
      </c>
      <c r="C13" s="5">
        <f>IFERROR(__xludf.DUMMYFUNCTION("""COMPUTED_VALUE"""),231.46)</f>
        <v>231.46</v>
      </c>
      <c r="D13" s="5">
        <f>IFERROR(__xludf.DUMMYFUNCTION("""COMPUTED_VALUE"""),226.64)</f>
        <v>226.64</v>
      </c>
      <c r="E13" s="5">
        <f>IFERROR(__xludf.DUMMYFUNCTION("""COMPUTED_VALUE"""),228.88)</f>
        <v>228.88</v>
      </c>
      <c r="F13" s="5">
        <f>IFERROR(__xludf.DUMMYFUNCTION("""COMPUTED_VALUE"""),5.7345884E7)</f>
        <v>57345884</v>
      </c>
    </row>
    <row r="14">
      <c r="A14" s="7">
        <f>IFERROR(__xludf.DUMMYFUNCTION("""COMPUTED_VALUE"""),45491.66666666667)</f>
        <v>45491.66667</v>
      </c>
      <c r="B14" s="5">
        <f>IFERROR(__xludf.DUMMYFUNCTION("""COMPUTED_VALUE"""),230.28)</f>
        <v>230.28</v>
      </c>
      <c r="C14" s="5">
        <f>IFERROR(__xludf.DUMMYFUNCTION("""COMPUTED_VALUE"""),230.44)</f>
        <v>230.44</v>
      </c>
      <c r="D14" s="5">
        <f>IFERROR(__xludf.DUMMYFUNCTION("""COMPUTED_VALUE"""),222.27)</f>
        <v>222.27</v>
      </c>
      <c r="E14" s="5">
        <f>IFERROR(__xludf.DUMMYFUNCTION("""COMPUTED_VALUE"""),224.18)</f>
        <v>224.18</v>
      </c>
      <c r="F14" s="5">
        <f>IFERROR(__xludf.DUMMYFUNCTION("""COMPUTED_VALUE"""),6.6034585E7)</f>
        <v>66034585</v>
      </c>
    </row>
    <row r="15">
      <c r="A15" s="7">
        <f>IFERROR(__xludf.DUMMYFUNCTION("""COMPUTED_VALUE"""),45492.66666666667)</f>
        <v>45492.66667</v>
      </c>
      <c r="B15" s="5">
        <f>IFERROR(__xludf.DUMMYFUNCTION("""COMPUTED_VALUE"""),224.82)</f>
        <v>224.82</v>
      </c>
      <c r="C15" s="5">
        <f>IFERROR(__xludf.DUMMYFUNCTION("""COMPUTED_VALUE"""),226.8)</f>
        <v>226.8</v>
      </c>
      <c r="D15" s="5">
        <f>IFERROR(__xludf.DUMMYFUNCTION("""COMPUTED_VALUE"""),223.28)</f>
        <v>223.28</v>
      </c>
      <c r="E15" s="5">
        <f>IFERROR(__xludf.DUMMYFUNCTION("""COMPUTED_VALUE"""),224.31)</f>
        <v>224.31</v>
      </c>
      <c r="F15" s="5">
        <f>IFERROR(__xludf.DUMMYFUNCTION("""COMPUTED_VALUE"""),4.9151453E7)</f>
        <v>49151453</v>
      </c>
    </row>
    <row r="16">
      <c r="A16" s="7">
        <f>IFERROR(__xludf.DUMMYFUNCTION("""COMPUTED_VALUE"""),45495.66666666667)</f>
        <v>45495.66667</v>
      </c>
      <c r="B16" s="5">
        <f>IFERROR(__xludf.DUMMYFUNCTION("""COMPUTED_VALUE"""),227.01)</f>
        <v>227.01</v>
      </c>
      <c r="C16" s="5">
        <f>IFERROR(__xludf.DUMMYFUNCTION("""COMPUTED_VALUE"""),227.78)</f>
        <v>227.78</v>
      </c>
      <c r="D16" s="5">
        <f>IFERROR(__xludf.DUMMYFUNCTION("""COMPUTED_VALUE"""),223.09)</f>
        <v>223.09</v>
      </c>
      <c r="E16" s="5">
        <f>IFERROR(__xludf.DUMMYFUNCTION("""COMPUTED_VALUE"""),223.96)</f>
        <v>223.96</v>
      </c>
      <c r="F16" s="5">
        <f>IFERROR(__xludf.DUMMYFUNCTION("""COMPUTED_VALUE"""),4.8201835E7)</f>
        <v>48201835</v>
      </c>
    </row>
    <row r="17">
      <c r="A17" s="7">
        <f>IFERROR(__xludf.DUMMYFUNCTION("""COMPUTED_VALUE"""),45496.66666666667)</f>
        <v>45496.66667</v>
      </c>
      <c r="B17" s="5">
        <f>IFERROR(__xludf.DUMMYFUNCTION("""COMPUTED_VALUE"""),224.37)</f>
        <v>224.37</v>
      </c>
      <c r="C17" s="5">
        <f>IFERROR(__xludf.DUMMYFUNCTION("""COMPUTED_VALUE"""),226.94)</f>
        <v>226.94</v>
      </c>
      <c r="D17" s="5">
        <f>IFERROR(__xludf.DUMMYFUNCTION("""COMPUTED_VALUE"""),222.68)</f>
        <v>222.68</v>
      </c>
      <c r="E17" s="5">
        <f>IFERROR(__xludf.DUMMYFUNCTION("""COMPUTED_VALUE"""),225.01)</f>
        <v>225.01</v>
      </c>
      <c r="F17" s="5">
        <f>IFERROR(__xludf.DUMMYFUNCTION("""COMPUTED_VALUE"""),3.996026E7)</f>
        <v>39960260</v>
      </c>
    </row>
    <row r="18">
      <c r="A18" s="7">
        <f>IFERROR(__xludf.DUMMYFUNCTION("""COMPUTED_VALUE"""),45497.66666666667)</f>
        <v>45497.66667</v>
      </c>
      <c r="B18" s="5">
        <f>IFERROR(__xludf.DUMMYFUNCTION("""COMPUTED_VALUE"""),224.0)</f>
        <v>224</v>
      </c>
      <c r="C18" s="5">
        <f>IFERROR(__xludf.DUMMYFUNCTION("""COMPUTED_VALUE"""),224.8)</f>
        <v>224.8</v>
      </c>
      <c r="D18" s="5">
        <f>IFERROR(__xludf.DUMMYFUNCTION("""COMPUTED_VALUE"""),217.13)</f>
        <v>217.13</v>
      </c>
      <c r="E18" s="5">
        <f>IFERROR(__xludf.DUMMYFUNCTION("""COMPUTED_VALUE"""),218.54)</f>
        <v>218.54</v>
      </c>
      <c r="F18" s="5">
        <f>IFERROR(__xludf.DUMMYFUNCTION("""COMPUTED_VALUE"""),6.1777576E7)</f>
        <v>61777576</v>
      </c>
    </row>
    <row r="19">
      <c r="A19" s="7">
        <f>IFERROR(__xludf.DUMMYFUNCTION("""COMPUTED_VALUE"""),45498.66666666667)</f>
        <v>45498.66667</v>
      </c>
      <c r="B19" s="5">
        <f>IFERROR(__xludf.DUMMYFUNCTION("""COMPUTED_VALUE"""),218.93)</f>
        <v>218.93</v>
      </c>
      <c r="C19" s="5">
        <f>IFERROR(__xludf.DUMMYFUNCTION("""COMPUTED_VALUE"""),220.85)</f>
        <v>220.85</v>
      </c>
      <c r="D19" s="5">
        <f>IFERROR(__xludf.DUMMYFUNCTION("""COMPUTED_VALUE"""),214.62)</f>
        <v>214.62</v>
      </c>
      <c r="E19" s="5">
        <f>IFERROR(__xludf.DUMMYFUNCTION("""COMPUTED_VALUE"""),217.49)</f>
        <v>217.49</v>
      </c>
      <c r="F19" s="5">
        <f>IFERROR(__xludf.DUMMYFUNCTION("""COMPUTED_VALUE"""),5.1391199E7)</f>
        <v>51391199</v>
      </c>
    </row>
    <row r="20">
      <c r="A20" s="7">
        <f>IFERROR(__xludf.DUMMYFUNCTION("""COMPUTED_VALUE"""),45499.66666666667)</f>
        <v>45499.66667</v>
      </c>
      <c r="B20" s="5">
        <f>IFERROR(__xludf.DUMMYFUNCTION("""COMPUTED_VALUE"""),218.7)</f>
        <v>218.7</v>
      </c>
      <c r="C20" s="5">
        <f>IFERROR(__xludf.DUMMYFUNCTION("""COMPUTED_VALUE"""),219.49)</f>
        <v>219.49</v>
      </c>
      <c r="D20" s="5">
        <f>IFERROR(__xludf.DUMMYFUNCTION("""COMPUTED_VALUE"""),216.01)</f>
        <v>216.01</v>
      </c>
      <c r="E20" s="5">
        <f>IFERROR(__xludf.DUMMYFUNCTION("""COMPUTED_VALUE"""),217.96)</f>
        <v>217.96</v>
      </c>
      <c r="F20" s="5">
        <f>IFERROR(__xludf.DUMMYFUNCTION("""COMPUTED_VALUE"""),4.1601345E7)</f>
        <v>41601345</v>
      </c>
    </row>
    <row r="21">
      <c r="A21" s="7">
        <f>IFERROR(__xludf.DUMMYFUNCTION("""COMPUTED_VALUE"""),45502.66666666667)</f>
        <v>45502.66667</v>
      </c>
      <c r="B21" s="5">
        <f>IFERROR(__xludf.DUMMYFUNCTION("""COMPUTED_VALUE"""),216.96)</f>
        <v>216.96</v>
      </c>
      <c r="C21" s="5">
        <f>IFERROR(__xludf.DUMMYFUNCTION("""COMPUTED_VALUE"""),219.3)</f>
        <v>219.3</v>
      </c>
      <c r="D21" s="5">
        <f>IFERROR(__xludf.DUMMYFUNCTION("""COMPUTED_VALUE"""),215.75)</f>
        <v>215.75</v>
      </c>
      <c r="E21" s="5">
        <f>IFERROR(__xludf.DUMMYFUNCTION("""COMPUTED_VALUE"""),218.24)</f>
        <v>218.24</v>
      </c>
      <c r="F21" s="5">
        <f>IFERROR(__xludf.DUMMYFUNCTION("""COMPUTED_VALUE"""),3.6311778E7)</f>
        <v>36311778</v>
      </c>
    </row>
    <row r="22">
      <c r="A22" s="7">
        <f>IFERROR(__xludf.DUMMYFUNCTION("""COMPUTED_VALUE"""),45503.66666666667)</f>
        <v>45503.66667</v>
      </c>
      <c r="B22" s="5">
        <f>IFERROR(__xludf.DUMMYFUNCTION("""COMPUTED_VALUE"""),219.19)</f>
        <v>219.19</v>
      </c>
      <c r="C22" s="5">
        <f>IFERROR(__xludf.DUMMYFUNCTION("""COMPUTED_VALUE"""),220.33)</f>
        <v>220.33</v>
      </c>
      <c r="D22" s="5">
        <f>IFERROR(__xludf.DUMMYFUNCTION("""COMPUTED_VALUE"""),216.12)</f>
        <v>216.12</v>
      </c>
      <c r="E22" s="5">
        <f>IFERROR(__xludf.DUMMYFUNCTION("""COMPUTED_VALUE"""),218.8)</f>
        <v>218.8</v>
      </c>
      <c r="F22" s="5">
        <f>IFERROR(__xludf.DUMMYFUNCTION("""COMPUTED_VALUE"""),4.164384E7)</f>
        <v>41643840</v>
      </c>
    </row>
    <row r="23">
      <c r="A23" s="7">
        <f>IFERROR(__xludf.DUMMYFUNCTION("""COMPUTED_VALUE"""),45504.66666666667)</f>
        <v>45504.66667</v>
      </c>
      <c r="B23" s="5">
        <f>IFERROR(__xludf.DUMMYFUNCTION("""COMPUTED_VALUE"""),221.44)</f>
        <v>221.44</v>
      </c>
      <c r="C23" s="5">
        <f>IFERROR(__xludf.DUMMYFUNCTION("""COMPUTED_VALUE"""),223.82)</f>
        <v>223.82</v>
      </c>
      <c r="D23" s="5">
        <f>IFERROR(__xludf.DUMMYFUNCTION("""COMPUTED_VALUE"""),220.63)</f>
        <v>220.63</v>
      </c>
      <c r="E23" s="5">
        <f>IFERROR(__xludf.DUMMYFUNCTION("""COMPUTED_VALUE"""),222.08)</f>
        <v>222.08</v>
      </c>
      <c r="F23" s="5">
        <f>IFERROR(__xludf.DUMMYFUNCTION("""COMPUTED_VALUE"""),5.0036262E7)</f>
        <v>50036262</v>
      </c>
    </row>
    <row r="24">
      <c r="A24" s="7">
        <f>IFERROR(__xludf.DUMMYFUNCTION("""COMPUTED_VALUE"""),45505.66666666667)</f>
        <v>45505.66667</v>
      </c>
      <c r="B24" s="5">
        <f>IFERROR(__xludf.DUMMYFUNCTION("""COMPUTED_VALUE"""),224.37)</f>
        <v>224.37</v>
      </c>
      <c r="C24" s="5">
        <f>IFERROR(__xludf.DUMMYFUNCTION("""COMPUTED_VALUE"""),224.48)</f>
        <v>224.48</v>
      </c>
      <c r="D24" s="5">
        <f>IFERROR(__xludf.DUMMYFUNCTION("""COMPUTED_VALUE"""),217.02)</f>
        <v>217.02</v>
      </c>
      <c r="E24" s="5">
        <f>IFERROR(__xludf.DUMMYFUNCTION("""COMPUTED_VALUE"""),218.36)</f>
        <v>218.36</v>
      </c>
      <c r="F24" s="5">
        <f>IFERROR(__xludf.DUMMYFUNCTION("""COMPUTED_VALUE"""),6.2500996E7)</f>
        <v>62500996</v>
      </c>
    </row>
    <row r="25">
      <c r="A25" s="7">
        <f>IFERROR(__xludf.DUMMYFUNCTION("""COMPUTED_VALUE"""),45506.66666666667)</f>
        <v>45506.66667</v>
      </c>
      <c r="B25" s="5">
        <f>IFERROR(__xludf.DUMMYFUNCTION("""COMPUTED_VALUE"""),219.15)</f>
        <v>219.15</v>
      </c>
      <c r="C25" s="5">
        <f>IFERROR(__xludf.DUMMYFUNCTION("""COMPUTED_VALUE"""),225.6)</f>
        <v>225.6</v>
      </c>
      <c r="D25" s="5">
        <f>IFERROR(__xludf.DUMMYFUNCTION("""COMPUTED_VALUE"""),217.71)</f>
        <v>217.71</v>
      </c>
      <c r="E25" s="5">
        <f>IFERROR(__xludf.DUMMYFUNCTION("""COMPUTED_VALUE"""),219.86)</f>
        <v>219.86</v>
      </c>
      <c r="F25" s="5">
        <f>IFERROR(__xludf.DUMMYFUNCTION("""COMPUTED_VALUE"""),1.0556856E8)</f>
        <v>105568560</v>
      </c>
    </row>
    <row r="26">
      <c r="A26" s="7">
        <f>IFERROR(__xludf.DUMMYFUNCTION("""COMPUTED_VALUE"""),45509.66666666667)</f>
        <v>45509.66667</v>
      </c>
      <c r="B26" s="5">
        <f>IFERROR(__xludf.DUMMYFUNCTION("""COMPUTED_VALUE"""),199.09)</f>
        <v>199.09</v>
      </c>
      <c r="C26" s="5">
        <f>IFERROR(__xludf.DUMMYFUNCTION("""COMPUTED_VALUE"""),213.5)</f>
        <v>213.5</v>
      </c>
      <c r="D26" s="5">
        <f>IFERROR(__xludf.DUMMYFUNCTION("""COMPUTED_VALUE"""),196.0)</f>
        <v>196</v>
      </c>
      <c r="E26" s="5">
        <f>IFERROR(__xludf.DUMMYFUNCTION("""COMPUTED_VALUE"""),209.27)</f>
        <v>209.27</v>
      </c>
      <c r="F26" s="5">
        <f>IFERROR(__xludf.DUMMYFUNCTION("""COMPUTED_VALUE"""),1.19548589E8)</f>
        <v>119548589</v>
      </c>
    </row>
    <row r="27">
      <c r="A27" s="7">
        <f>IFERROR(__xludf.DUMMYFUNCTION("""COMPUTED_VALUE"""),45510.66666666667)</f>
        <v>45510.66667</v>
      </c>
      <c r="B27" s="5">
        <f>IFERROR(__xludf.DUMMYFUNCTION("""COMPUTED_VALUE"""),205.3)</f>
        <v>205.3</v>
      </c>
      <c r="C27" s="5">
        <f>IFERROR(__xludf.DUMMYFUNCTION("""COMPUTED_VALUE"""),209.99)</f>
        <v>209.99</v>
      </c>
      <c r="D27" s="5">
        <f>IFERROR(__xludf.DUMMYFUNCTION("""COMPUTED_VALUE"""),201.07)</f>
        <v>201.07</v>
      </c>
      <c r="E27" s="5">
        <f>IFERROR(__xludf.DUMMYFUNCTION("""COMPUTED_VALUE"""),207.23)</f>
        <v>207.23</v>
      </c>
      <c r="F27" s="5">
        <f>IFERROR(__xludf.DUMMYFUNCTION("""COMPUTED_VALUE"""),6.9660488E7)</f>
        <v>69660488</v>
      </c>
    </row>
    <row r="28">
      <c r="A28" s="7">
        <f>IFERROR(__xludf.DUMMYFUNCTION("""COMPUTED_VALUE"""),45511.66666666667)</f>
        <v>45511.66667</v>
      </c>
      <c r="B28" s="5">
        <f>IFERROR(__xludf.DUMMYFUNCTION("""COMPUTED_VALUE"""),206.9)</f>
        <v>206.9</v>
      </c>
      <c r="C28" s="5">
        <f>IFERROR(__xludf.DUMMYFUNCTION("""COMPUTED_VALUE"""),213.64)</f>
        <v>213.64</v>
      </c>
      <c r="D28" s="5">
        <f>IFERROR(__xludf.DUMMYFUNCTION("""COMPUTED_VALUE"""),206.39)</f>
        <v>206.39</v>
      </c>
      <c r="E28" s="5">
        <f>IFERROR(__xludf.DUMMYFUNCTION("""COMPUTED_VALUE"""),209.82)</f>
        <v>209.82</v>
      </c>
      <c r="F28" s="5">
        <f>IFERROR(__xludf.DUMMYFUNCTION("""COMPUTED_VALUE"""),6.3516417E7)</f>
        <v>63516417</v>
      </c>
    </row>
    <row r="29">
      <c r="A29" s="7">
        <f>IFERROR(__xludf.DUMMYFUNCTION("""COMPUTED_VALUE"""),45512.66666666667)</f>
        <v>45512.66667</v>
      </c>
      <c r="B29" s="5">
        <f>IFERROR(__xludf.DUMMYFUNCTION("""COMPUTED_VALUE"""),213.11)</f>
        <v>213.11</v>
      </c>
      <c r="C29" s="5">
        <f>IFERROR(__xludf.DUMMYFUNCTION("""COMPUTED_VALUE"""),214.2)</f>
        <v>214.2</v>
      </c>
      <c r="D29" s="5">
        <f>IFERROR(__xludf.DUMMYFUNCTION("""COMPUTED_VALUE"""),208.83)</f>
        <v>208.83</v>
      </c>
      <c r="E29" s="5">
        <f>IFERROR(__xludf.DUMMYFUNCTION("""COMPUTED_VALUE"""),213.31)</f>
        <v>213.31</v>
      </c>
      <c r="F29" s="5">
        <f>IFERROR(__xludf.DUMMYFUNCTION("""COMPUTED_VALUE"""),4.7161149E7)</f>
        <v>47161149</v>
      </c>
    </row>
    <row r="30">
      <c r="A30" s="7">
        <f>IFERROR(__xludf.DUMMYFUNCTION("""COMPUTED_VALUE"""),45513.66666666667)</f>
        <v>45513.66667</v>
      </c>
      <c r="B30" s="5">
        <f>IFERROR(__xludf.DUMMYFUNCTION("""COMPUTED_VALUE"""),212.1)</f>
        <v>212.1</v>
      </c>
      <c r="C30" s="5">
        <f>IFERROR(__xludf.DUMMYFUNCTION("""COMPUTED_VALUE"""),216.78)</f>
        <v>216.78</v>
      </c>
      <c r="D30" s="5">
        <f>IFERROR(__xludf.DUMMYFUNCTION("""COMPUTED_VALUE"""),211.97)</f>
        <v>211.97</v>
      </c>
      <c r="E30" s="5">
        <f>IFERROR(__xludf.DUMMYFUNCTION("""COMPUTED_VALUE"""),216.24)</f>
        <v>216.24</v>
      </c>
      <c r="F30" s="5">
        <f>IFERROR(__xludf.DUMMYFUNCTION("""COMPUTED_VALUE"""),4.2201646E7)</f>
        <v>42201646</v>
      </c>
    </row>
    <row r="31">
      <c r="A31" s="7">
        <f>IFERROR(__xludf.DUMMYFUNCTION("""COMPUTED_VALUE"""),45516.66666666667)</f>
        <v>45516.66667</v>
      </c>
      <c r="B31" s="5">
        <f>IFERROR(__xludf.DUMMYFUNCTION("""COMPUTED_VALUE"""),216.07)</f>
        <v>216.07</v>
      </c>
      <c r="C31" s="5">
        <f>IFERROR(__xludf.DUMMYFUNCTION("""COMPUTED_VALUE"""),219.51)</f>
        <v>219.51</v>
      </c>
      <c r="D31" s="5">
        <f>IFERROR(__xludf.DUMMYFUNCTION("""COMPUTED_VALUE"""),215.6)</f>
        <v>215.6</v>
      </c>
      <c r="E31" s="5">
        <f>IFERROR(__xludf.DUMMYFUNCTION("""COMPUTED_VALUE"""),217.53)</f>
        <v>217.53</v>
      </c>
      <c r="F31" s="5">
        <f>IFERROR(__xludf.DUMMYFUNCTION("""COMPUTED_VALUE"""),3.8028092E7)</f>
        <v>38028092</v>
      </c>
    </row>
    <row r="32">
      <c r="A32" s="7">
        <f>IFERROR(__xludf.DUMMYFUNCTION("""COMPUTED_VALUE"""),45517.66666666667)</f>
        <v>45517.66667</v>
      </c>
      <c r="B32" s="5">
        <f>IFERROR(__xludf.DUMMYFUNCTION("""COMPUTED_VALUE"""),219.01)</f>
        <v>219.01</v>
      </c>
      <c r="C32" s="5">
        <f>IFERROR(__xludf.DUMMYFUNCTION("""COMPUTED_VALUE"""),221.89)</f>
        <v>221.89</v>
      </c>
      <c r="D32" s="5">
        <f>IFERROR(__xludf.DUMMYFUNCTION("""COMPUTED_VALUE"""),219.01)</f>
        <v>219.01</v>
      </c>
      <c r="E32" s="5">
        <f>IFERROR(__xludf.DUMMYFUNCTION("""COMPUTED_VALUE"""),221.27)</f>
        <v>221.27</v>
      </c>
      <c r="F32" s="5">
        <f>IFERROR(__xludf.DUMMYFUNCTION("""COMPUTED_VALUE"""),4.4155331E7)</f>
        <v>44155331</v>
      </c>
    </row>
    <row r="33">
      <c r="A33" s="7">
        <f>IFERROR(__xludf.DUMMYFUNCTION("""COMPUTED_VALUE"""),45518.66666666667)</f>
        <v>45518.66667</v>
      </c>
      <c r="B33" s="5">
        <f>IFERROR(__xludf.DUMMYFUNCTION("""COMPUTED_VALUE"""),220.57)</f>
        <v>220.57</v>
      </c>
      <c r="C33" s="5">
        <f>IFERROR(__xludf.DUMMYFUNCTION("""COMPUTED_VALUE"""),223.03)</f>
        <v>223.03</v>
      </c>
      <c r="D33" s="5">
        <f>IFERROR(__xludf.DUMMYFUNCTION("""COMPUTED_VALUE"""),219.7)</f>
        <v>219.7</v>
      </c>
      <c r="E33" s="5">
        <f>IFERROR(__xludf.DUMMYFUNCTION("""COMPUTED_VALUE"""),221.72)</f>
        <v>221.72</v>
      </c>
      <c r="F33" s="5">
        <f>IFERROR(__xludf.DUMMYFUNCTION("""COMPUTED_VALUE"""),4.1960574E7)</f>
        <v>41960574</v>
      </c>
    </row>
    <row r="34">
      <c r="A34" s="7">
        <f>IFERROR(__xludf.DUMMYFUNCTION("""COMPUTED_VALUE"""),45519.66666666667)</f>
        <v>45519.66667</v>
      </c>
      <c r="B34" s="5">
        <f>IFERROR(__xludf.DUMMYFUNCTION("""COMPUTED_VALUE"""),224.6)</f>
        <v>224.6</v>
      </c>
      <c r="C34" s="5">
        <f>IFERROR(__xludf.DUMMYFUNCTION("""COMPUTED_VALUE"""),225.35)</f>
        <v>225.35</v>
      </c>
      <c r="D34" s="5">
        <f>IFERROR(__xludf.DUMMYFUNCTION("""COMPUTED_VALUE"""),222.76)</f>
        <v>222.76</v>
      </c>
      <c r="E34" s="5">
        <f>IFERROR(__xludf.DUMMYFUNCTION("""COMPUTED_VALUE"""),224.72)</f>
        <v>224.72</v>
      </c>
      <c r="F34" s="5">
        <f>IFERROR(__xludf.DUMMYFUNCTION("""COMPUTED_VALUE"""),4.6414013E7)</f>
        <v>46414013</v>
      </c>
    </row>
    <row r="35">
      <c r="A35" s="7">
        <f>IFERROR(__xludf.DUMMYFUNCTION("""COMPUTED_VALUE"""),45520.66666666667)</f>
        <v>45520.66667</v>
      </c>
      <c r="B35" s="5">
        <f>IFERROR(__xludf.DUMMYFUNCTION("""COMPUTED_VALUE"""),223.92)</f>
        <v>223.92</v>
      </c>
      <c r="C35" s="5">
        <f>IFERROR(__xludf.DUMMYFUNCTION("""COMPUTED_VALUE"""),226.83)</f>
        <v>226.83</v>
      </c>
      <c r="D35" s="5">
        <f>IFERROR(__xludf.DUMMYFUNCTION("""COMPUTED_VALUE"""),223.65)</f>
        <v>223.65</v>
      </c>
      <c r="E35" s="5">
        <f>IFERROR(__xludf.DUMMYFUNCTION("""COMPUTED_VALUE"""),226.05)</f>
        <v>226.05</v>
      </c>
      <c r="F35" s="5">
        <f>IFERROR(__xludf.DUMMYFUNCTION("""COMPUTED_VALUE"""),4.434024E7)</f>
        <v>44340240</v>
      </c>
    </row>
    <row r="36">
      <c r="A36" s="7">
        <f>IFERROR(__xludf.DUMMYFUNCTION("""COMPUTED_VALUE"""),45523.66666666667)</f>
        <v>45523.66667</v>
      </c>
      <c r="B36" s="5">
        <f>IFERROR(__xludf.DUMMYFUNCTION("""COMPUTED_VALUE"""),225.72)</f>
        <v>225.72</v>
      </c>
      <c r="C36" s="5">
        <f>IFERROR(__xludf.DUMMYFUNCTION("""COMPUTED_VALUE"""),225.99)</f>
        <v>225.99</v>
      </c>
      <c r="D36" s="5">
        <f>IFERROR(__xludf.DUMMYFUNCTION("""COMPUTED_VALUE"""),223.04)</f>
        <v>223.04</v>
      </c>
      <c r="E36" s="5">
        <f>IFERROR(__xludf.DUMMYFUNCTION("""COMPUTED_VALUE"""),225.89)</f>
        <v>225.89</v>
      </c>
      <c r="F36" s="5">
        <f>IFERROR(__xludf.DUMMYFUNCTION("""COMPUTED_VALUE"""),4.0687813E7)</f>
        <v>40687813</v>
      </c>
    </row>
    <row r="37">
      <c r="A37" s="7">
        <f>IFERROR(__xludf.DUMMYFUNCTION("""COMPUTED_VALUE"""),45524.66666666667)</f>
        <v>45524.66667</v>
      </c>
      <c r="B37" s="5">
        <f>IFERROR(__xludf.DUMMYFUNCTION("""COMPUTED_VALUE"""),225.77)</f>
        <v>225.77</v>
      </c>
      <c r="C37" s="5">
        <f>IFERROR(__xludf.DUMMYFUNCTION("""COMPUTED_VALUE"""),227.17)</f>
        <v>227.17</v>
      </c>
      <c r="D37" s="5">
        <f>IFERROR(__xludf.DUMMYFUNCTION("""COMPUTED_VALUE"""),225.45)</f>
        <v>225.45</v>
      </c>
      <c r="E37" s="5">
        <f>IFERROR(__xludf.DUMMYFUNCTION("""COMPUTED_VALUE"""),226.51)</f>
        <v>226.51</v>
      </c>
      <c r="F37" s="5">
        <f>IFERROR(__xludf.DUMMYFUNCTION("""COMPUTED_VALUE"""),3.0299033E7)</f>
        <v>30299033</v>
      </c>
    </row>
    <row r="38">
      <c r="A38" s="7">
        <f>IFERROR(__xludf.DUMMYFUNCTION("""COMPUTED_VALUE"""),45525.66666666667)</f>
        <v>45525.66667</v>
      </c>
      <c r="B38" s="5">
        <f>IFERROR(__xludf.DUMMYFUNCTION("""COMPUTED_VALUE"""),226.52)</f>
        <v>226.52</v>
      </c>
      <c r="C38" s="5">
        <f>IFERROR(__xludf.DUMMYFUNCTION("""COMPUTED_VALUE"""),227.98)</f>
        <v>227.98</v>
      </c>
      <c r="D38" s="5">
        <f>IFERROR(__xludf.DUMMYFUNCTION("""COMPUTED_VALUE"""),225.05)</f>
        <v>225.05</v>
      </c>
      <c r="E38" s="5">
        <f>IFERROR(__xludf.DUMMYFUNCTION("""COMPUTED_VALUE"""),226.4)</f>
        <v>226.4</v>
      </c>
      <c r="F38" s="5">
        <f>IFERROR(__xludf.DUMMYFUNCTION("""COMPUTED_VALUE"""),3.476548E7)</f>
        <v>34765480</v>
      </c>
    </row>
    <row r="39">
      <c r="A39" s="7">
        <f>IFERROR(__xludf.DUMMYFUNCTION("""COMPUTED_VALUE"""),45526.66666666667)</f>
        <v>45526.66667</v>
      </c>
      <c r="B39" s="5">
        <f>IFERROR(__xludf.DUMMYFUNCTION("""COMPUTED_VALUE"""),227.79)</f>
        <v>227.79</v>
      </c>
      <c r="C39" s="5">
        <f>IFERROR(__xludf.DUMMYFUNCTION("""COMPUTED_VALUE"""),228.34)</f>
        <v>228.34</v>
      </c>
      <c r="D39" s="5">
        <f>IFERROR(__xludf.DUMMYFUNCTION("""COMPUTED_VALUE"""),223.9)</f>
        <v>223.9</v>
      </c>
      <c r="E39" s="5">
        <f>IFERROR(__xludf.DUMMYFUNCTION("""COMPUTED_VALUE"""),224.53)</f>
        <v>224.53</v>
      </c>
      <c r="F39" s="5">
        <f>IFERROR(__xludf.DUMMYFUNCTION("""COMPUTED_VALUE"""),4.3695321E7)</f>
        <v>43695321</v>
      </c>
    </row>
    <row r="40">
      <c r="A40" s="7">
        <f>IFERROR(__xludf.DUMMYFUNCTION("""COMPUTED_VALUE"""),45527.66666666667)</f>
        <v>45527.66667</v>
      </c>
      <c r="B40" s="5">
        <f>IFERROR(__xludf.DUMMYFUNCTION("""COMPUTED_VALUE"""),225.66)</f>
        <v>225.66</v>
      </c>
      <c r="C40" s="5">
        <f>IFERROR(__xludf.DUMMYFUNCTION("""COMPUTED_VALUE"""),228.22)</f>
        <v>228.22</v>
      </c>
      <c r="D40" s="5">
        <f>IFERROR(__xludf.DUMMYFUNCTION("""COMPUTED_VALUE"""),224.33)</f>
        <v>224.33</v>
      </c>
      <c r="E40" s="5">
        <f>IFERROR(__xludf.DUMMYFUNCTION("""COMPUTED_VALUE"""),226.84)</f>
        <v>226.84</v>
      </c>
      <c r="F40" s="5">
        <f>IFERROR(__xludf.DUMMYFUNCTION("""COMPUTED_VALUE"""),3.867725E7)</f>
        <v>38677250</v>
      </c>
    </row>
    <row r="41">
      <c r="A41" s="7">
        <f>IFERROR(__xludf.DUMMYFUNCTION("""COMPUTED_VALUE"""),45530.66666666667)</f>
        <v>45530.66667</v>
      </c>
      <c r="B41" s="5">
        <f>IFERROR(__xludf.DUMMYFUNCTION("""COMPUTED_VALUE"""),226.76)</f>
        <v>226.76</v>
      </c>
      <c r="C41" s="5">
        <f>IFERROR(__xludf.DUMMYFUNCTION("""COMPUTED_VALUE"""),227.28)</f>
        <v>227.28</v>
      </c>
      <c r="D41" s="5">
        <f>IFERROR(__xludf.DUMMYFUNCTION("""COMPUTED_VALUE"""),223.89)</f>
        <v>223.89</v>
      </c>
      <c r="E41" s="5">
        <f>IFERROR(__xludf.DUMMYFUNCTION("""COMPUTED_VALUE"""),227.18)</f>
        <v>227.18</v>
      </c>
      <c r="F41" s="5">
        <f>IFERROR(__xludf.DUMMYFUNCTION("""COMPUTED_VALUE"""),3.0602208E7)</f>
        <v>30602208</v>
      </c>
    </row>
    <row r="42">
      <c r="A42" s="7">
        <f>IFERROR(__xludf.DUMMYFUNCTION("""COMPUTED_VALUE"""),45531.66666666667)</f>
        <v>45531.66667</v>
      </c>
      <c r="B42" s="5">
        <f>IFERROR(__xludf.DUMMYFUNCTION("""COMPUTED_VALUE"""),226.0)</f>
        <v>226</v>
      </c>
      <c r="C42" s="5">
        <f>IFERROR(__xludf.DUMMYFUNCTION("""COMPUTED_VALUE"""),228.85)</f>
        <v>228.85</v>
      </c>
      <c r="D42" s="5">
        <f>IFERROR(__xludf.DUMMYFUNCTION("""COMPUTED_VALUE"""),224.89)</f>
        <v>224.89</v>
      </c>
      <c r="E42" s="5">
        <f>IFERROR(__xludf.DUMMYFUNCTION("""COMPUTED_VALUE"""),228.03)</f>
        <v>228.03</v>
      </c>
      <c r="F42" s="5">
        <f>IFERROR(__xludf.DUMMYFUNCTION("""COMPUTED_VALUE"""),3.5934559E7)</f>
        <v>35934559</v>
      </c>
    </row>
    <row r="43">
      <c r="A43" s="7">
        <f>IFERROR(__xludf.DUMMYFUNCTION("""COMPUTED_VALUE"""),45532.66666666667)</f>
        <v>45532.66667</v>
      </c>
      <c r="B43" s="5">
        <f>IFERROR(__xludf.DUMMYFUNCTION("""COMPUTED_VALUE"""),227.92)</f>
        <v>227.92</v>
      </c>
      <c r="C43" s="5">
        <f>IFERROR(__xludf.DUMMYFUNCTION("""COMPUTED_VALUE"""),229.86)</f>
        <v>229.86</v>
      </c>
      <c r="D43" s="5">
        <f>IFERROR(__xludf.DUMMYFUNCTION("""COMPUTED_VALUE"""),225.68)</f>
        <v>225.68</v>
      </c>
      <c r="E43" s="5">
        <f>IFERROR(__xludf.DUMMYFUNCTION("""COMPUTED_VALUE"""),226.49)</f>
        <v>226.49</v>
      </c>
      <c r="F43" s="5">
        <f>IFERROR(__xludf.DUMMYFUNCTION("""COMPUTED_VALUE"""),3.8052167E7)</f>
        <v>38052167</v>
      </c>
    </row>
    <row r="44">
      <c r="A44" s="7">
        <f>IFERROR(__xludf.DUMMYFUNCTION("""COMPUTED_VALUE"""),45533.66666666667)</f>
        <v>45533.66667</v>
      </c>
      <c r="B44" s="5">
        <f>IFERROR(__xludf.DUMMYFUNCTION("""COMPUTED_VALUE"""),230.1)</f>
        <v>230.1</v>
      </c>
      <c r="C44" s="5">
        <f>IFERROR(__xludf.DUMMYFUNCTION("""COMPUTED_VALUE"""),232.92)</f>
        <v>232.92</v>
      </c>
      <c r="D44" s="5">
        <f>IFERROR(__xludf.DUMMYFUNCTION("""COMPUTED_VALUE"""),228.88)</f>
        <v>228.88</v>
      </c>
      <c r="E44" s="5">
        <f>IFERROR(__xludf.DUMMYFUNCTION("""COMPUTED_VALUE"""),229.79)</f>
        <v>229.79</v>
      </c>
      <c r="F44" s="5">
        <f>IFERROR(__xludf.DUMMYFUNCTION("""COMPUTED_VALUE"""),5.1906297E7)</f>
        <v>51906297</v>
      </c>
    </row>
    <row r="45">
      <c r="A45" s="7">
        <f>IFERROR(__xludf.DUMMYFUNCTION("""COMPUTED_VALUE"""),45534.66666666667)</f>
        <v>45534.66667</v>
      </c>
      <c r="B45" s="5">
        <f>IFERROR(__xludf.DUMMYFUNCTION("""COMPUTED_VALUE"""),230.19)</f>
        <v>230.19</v>
      </c>
      <c r="C45" s="5">
        <f>IFERROR(__xludf.DUMMYFUNCTION("""COMPUTED_VALUE"""),230.4)</f>
        <v>230.4</v>
      </c>
      <c r="D45" s="5">
        <f>IFERROR(__xludf.DUMMYFUNCTION("""COMPUTED_VALUE"""),227.48)</f>
        <v>227.48</v>
      </c>
      <c r="E45" s="5">
        <f>IFERROR(__xludf.DUMMYFUNCTION("""COMPUTED_VALUE"""),229.0)</f>
        <v>229</v>
      </c>
      <c r="F45" s="5">
        <f>IFERROR(__xludf.DUMMYFUNCTION("""COMPUTED_VALUE"""),5.299077E7)</f>
        <v>52990770</v>
      </c>
    </row>
    <row r="46">
      <c r="A46" s="7">
        <f>IFERROR(__xludf.DUMMYFUNCTION("""COMPUTED_VALUE"""),45538.66666666667)</f>
        <v>45538.66667</v>
      </c>
      <c r="B46" s="5">
        <f>IFERROR(__xludf.DUMMYFUNCTION("""COMPUTED_VALUE"""),228.55)</f>
        <v>228.55</v>
      </c>
      <c r="C46" s="5">
        <f>IFERROR(__xludf.DUMMYFUNCTION("""COMPUTED_VALUE"""),229.0)</f>
        <v>229</v>
      </c>
      <c r="D46" s="5">
        <f>IFERROR(__xludf.DUMMYFUNCTION("""COMPUTED_VALUE"""),221.17)</f>
        <v>221.17</v>
      </c>
      <c r="E46" s="5">
        <f>IFERROR(__xludf.DUMMYFUNCTION("""COMPUTED_VALUE"""),222.77)</f>
        <v>222.77</v>
      </c>
      <c r="F46" s="5">
        <f>IFERROR(__xludf.DUMMYFUNCTION("""COMPUTED_VALUE"""),5.0190574E7)</f>
        <v>50190574</v>
      </c>
    </row>
    <row r="47">
      <c r="A47" s="7">
        <f>IFERROR(__xludf.DUMMYFUNCTION("""COMPUTED_VALUE"""),45539.66666666667)</f>
        <v>45539.66667</v>
      </c>
      <c r="B47" s="5">
        <f>IFERROR(__xludf.DUMMYFUNCTION("""COMPUTED_VALUE"""),221.66)</f>
        <v>221.66</v>
      </c>
      <c r="C47" s="5">
        <f>IFERROR(__xludf.DUMMYFUNCTION("""COMPUTED_VALUE"""),221.78)</f>
        <v>221.78</v>
      </c>
      <c r="D47" s="5">
        <f>IFERROR(__xludf.DUMMYFUNCTION("""COMPUTED_VALUE"""),217.48)</f>
        <v>217.48</v>
      </c>
      <c r="E47" s="5">
        <f>IFERROR(__xludf.DUMMYFUNCTION("""COMPUTED_VALUE"""),220.85)</f>
        <v>220.85</v>
      </c>
      <c r="F47" s="5">
        <f>IFERROR(__xludf.DUMMYFUNCTION("""COMPUTED_VALUE"""),4.3840196E7)</f>
        <v>43840196</v>
      </c>
    </row>
    <row r="48">
      <c r="A48" s="7">
        <f>IFERROR(__xludf.DUMMYFUNCTION("""COMPUTED_VALUE"""),45540.66666666667)</f>
        <v>45540.66667</v>
      </c>
      <c r="B48" s="5">
        <f>IFERROR(__xludf.DUMMYFUNCTION("""COMPUTED_VALUE"""),221.63)</f>
        <v>221.63</v>
      </c>
      <c r="C48" s="5">
        <f>IFERROR(__xludf.DUMMYFUNCTION("""COMPUTED_VALUE"""),225.48)</f>
        <v>225.48</v>
      </c>
      <c r="D48" s="5">
        <f>IFERROR(__xludf.DUMMYFUNCTION("""COMPUTED_VALUE"""),221.52)</f>
        <v>221.52</v>
      </c>
      <c r="E48" s="5">
        <f>IFERROR(__xludf.DUMMYFUNCTION("""COMPUTED_VALUE"""),222.38)</f>
        <v>222.38</v>
      </c>
      <c r="F48" s="5">
        <f>IFERROR(__xludf.DUMMYFUNCTION("""COMPUTED_VALUE"""),3.6615398E7)</f>
        <v>36615398</v>
      </c>
    </row>
    <row r="49">
      <c r="A49" s="7">
        <f>IFERROR(__xludf.DUMMYFUNCTION("""COMPUTED_VALUE"""),45541.66666666667)</f>
        <v>45541.66667</v>
      </c>
      <c r="B49" s="5">
        <f>IFERROR(__xludf.DUMMYFUNCTION("""COMPUTED_VALUE"""),223.95)</f>
        <v>223.95</v>
      </c>
      <c r="C49" s="5">
        <f>IFERROR(__xludf.DUMMYFUNCTION("""COMPUTED_VALUE"""),225.24)</f>
        <v>225.24</v>
      </c>
      <c r="D49" s="5">
        <f>IFERROR(__xludf.DUMMYFUNCTION("""COMPUTED_VALUE"""),219.77)</f>
        <v>219.77</v>
      </c>
      <c r="E49" s="5">
        <f>IFERROR(__xludf.DUMMYFUNCTION("""COMPUTED_VALUE"""),220.82)</f>
        <v>220.82</v>
      </c>
      <c r="F49" s="5">
        <f>IFERROR(__xludf.DUMMYFUNCTION("""COMPUTED_VALUE"""),4.8423011E7)</f>
        <v>48423011</v>
      </c>
    </row>
    <row r="50">
      <c r="A50" s="7">
        <f>IFERROR(__xludf.DUMMYFUNCTION("""COMPUTED_VALUE"""),45544.66666666667)</f>
        <v>45544.66667</v>
      </c>
      <c r="B50" s="5">
        <f>IFERROR(__xludf.DUMMYFUNCTION("""COMPUTED_VALUE"""),220.82)</f>
        <v>220.82</v>
      </c>
      <c r="C50" s="5">
        <f>IFERROR(__xludf.DUMMYFUNCTION("""COMPUTED_VALUE"""),221.27)</f>
        <v>221.27</v>
      </c>
      <c r="D50" s="5">
        <f>IFERROR(__xludf.DUMMYFUNCTION("""COMPUTED_VALUE"""),216.71)</f>
        <v>216.71</v>
      </c>
      <c r="E50" s="5">
        <f>IFERROR(__xludf.DUMMYFUNCTION("""COMPUTED_VALUE"""),220.91)</f>
        <v>220.91</v>
      </c>
      <c r="F50" s="5">
        <f>IFERROR(__xludf.DUMMYFUNCTION("""COMPUTED_VALUE"""),6.7179965E7)</f>
        <v>67179965</v>
      </c>
    </row>
    <row r="51">
      <c r="A51" s="7">
        <f>IFERROR(__xludf.DUMMYFUNCTION("""COMPUTED_VALUE"""),45545.66666666667)</f>
        <v>45545.66667</v>
      </c>
      <c r="B51" s="5">
        <f>IFERROR(__xludf.DUMMYFUNCTION("""COMPUTED_VALUE"""),218.92)</f>
        <v>218.92</v>
      </c>
      <c r="C51" s="5">
        <f>IFERROR(__xludf.DUMMYFUNCTION("""COMPUTED_VALUE"""),221.48)</f>
        <v>221.48</v>
      </c>
      <c r="D51" s="5">
        <f>IFERROR(__xludf.DUMMYFUNCTION("""COMPUTED_VALUE"""),216.73)</f>
        <v>216.73</v>
      </c>
      <c r="E51" s="5">
        <f>IFERROR(__xludf.DUMMYFUNCTION("""COMPUTED_VALUE"""),220.11)</f>
        <v>220.11</v>
      </c>
      <c r="F51" s="5">
        <f>IFERROR(__xludf.DUMMYFUNCTION("""COMPUTED_VALUE"""),5.1591033E7)</f>
        <v>51591033</v>
      </c>
    </row>
    <row r="52">
      <c r="A52" s="7">
        <f>IFERROR(__xludf.DUMMYFUNCTION("""COMPUTED_VALUE"""),45546.66666666667)</f>
        <v>45546.66667</v>
      </c>
      <c r="B52" s="5">
        <f>IFERROR(__xludf.DUMMYFUNCTION("""COMPUTED_VALUE"""),221.46)</f>
        <v>221.46</v>
      </c>
      <c r="C52" s="5">
        <f>IFERROR(__xludf.DUMMYFUNCTION("""COMPUTED_VALUE"""),223.09)</f>
        <v>223.09</v>
      </c>
      <c r="D52" s="5">
        <f>IFERROR(__xludf.DUMMYFUNCTION("""COMPUTED_VALUE"""),217.89)</f>
        <v>217.89</v>
      </c>
      <c r="E52" s="5">
        <f>IFERROR(__xludf.DUMMYFUNCTION("""COMPUTED_VALUE"""),222.66)</f>
        <v>222.66</v>
      </c>
      <c r="F52" s="5">
        <f>IFERROR(__xludf.DUMMYFUNCTION("""COMPUTED_VALUE"""),4.4587072E7)</f>
        <v>44587072</v>
      </c>
    </row>
    <row r="53">
      <c r="A53" s="7">
        <f>IFERROR(__xludf.DUMMYFUNCTION("""COMPUTED_VALUE"""),45547.66666666667)</f>
        <v>45547.66667</v>
      </c>
      <c r="B53" s="5">
        <f>IFERROR(__xludf.DUMMYFUNCTION("""COMPUTED_VALUE"""),222.5)</f>
        <v>222.5</v>
      </c>
      <c r="C53" s="5">
        <f>IFERROR(__xludf.DUMMYFUNCTION("""COMPUTED_VALUE"""),223.55)</f>
        <v>223.55</v>
      </c>
      <c r="D53" s="5">
        <f>IFERROR(__xludf.DUMMYFUNCTION("""COMPUTED_VALUE"""),219.82)</f>
        <v>219.82</v>
      </c>
      <c r="E53" s="5">
        <f>IFERROR(__xludf.DUMMYFUNCTION("""COMPUTED_VALUE"""),222.77)</f>
        <v>222.77</v>
      </c>
      <c r="F53" s="5">
        <f>IFERROR(__xludf.DUMMYFUNCTION("""COMPUTED_VALUE"""),3.7498225E7)</f>
        <v>37498225</v>
      </c>
    </row>
    <row r="54">
      <c r="A54" s="7">
        <f>IFERROR(__xludf.DUMMYFUNCTION("""COMPUTED_VALUE"""),45548.66666666667)</f>
        <v>45548.66667</v>
      </c>
      <c r="B54" s="5">
        <f>IFERROR(__xludf.DUMMYFUNCTION("""COMPUTED_VALUE"""),223.58)</f>
        <v>223.58</v>
      </c>
      <c r="C54" s="5">
        <f>IFERROR(__xludf.DUMMYFUNCTION("""COMPUTED_VALUE"""),224.04)</f>
        <v>224.04</v>
      </c>
      <c r="D54" s="5">
        <f>IFERROR(__xludf.DUMMYFUNCTION("""COMPUTED_VALUE"""),221.91)</f>
        <v>221.91</v>
      </c>
      <c r="E54" s="5">
        <f>IFERROR(__xludf.DUMMYFUNCTION("""COMPUTED_VALUE"""),222.5)</f>
        <v>222.5</v>
      </c>
      <c r="F54" s="5">
        <f>IFERROR(__xludf.DUMMYFUNCTION("""COMPUTED_VALUE"""),3.6766619E7)</f>
        <v>36766619</v>
      </c>
    </row>
    <row r="55">
      <c r="A55" s="7">
        <f>IFERROR(__xludf.DUMMYFUNCTION("""COMPUTED_VALUE"""),45551.66666666667)</f>
        <v>45551.66667</v>
      </c>
      <c r="B55" s="5">
        <f>IFERROR(__xludf.DUMMYFUNCTION("""COMPUTED_VALUE"""),216.54)</f>
        <v>216.54</v>
      </c>
      <c r="C55" s="5">
        <f>IFERROR(__xludf.DUMMYFUNCTION("""COMPUTED_VALUE"""),217.22)</f>
        <v>217.22</v>
      </c>
      <c r="D55" s="5">
        <f>IFERROR(__xludf.DUMMYFUNCTION("""COMPUTED_VALUE"""),213.92)</f>
        <v>213.92</v>
      </c>
      <c r="E55" s="5">
        <f>IFERROR(__xludf.DUMMYFUNCTION("""COMPUTED_VALUE"""),216.32)</f>
        <v>216.32</v>
      </c>
      <c r="F55" s="5">
        <f>IFERROR(__xludf.DUMMYFUNCTION("""COMPUTED_VALUE"""),5.9357427E7)</f>
        <v>59357427</v>
      </c>
    </row>
    <row r="56">
      <c r="A56" s="7">
        <f>IFERROR(__xludf.DUMMYFUNCTION("""COMPUTED_VALUE"""),45552.66666666667)</f>
        <v>45552.66667</v>
      </c>
      <c r="B56" s="5">
        <f>IFERROR(__xludf.DUMMYFUNCTION("""COMPUTED_VALUE"""),215.75)</f>
        <v>215.75</v>
      </c>
      <c r="C56" s="5">
        <f>IFERROR(__xludf.DUMMYFUNCTION("""COMPUTED_VALUE"""),216.9)</f>
        <v>216.9</v>
      </c>
      <c r="D56" s="5">
        <f>IFERROR(__xludf.DUMMYFUNCTION("""COMPUTED_VALUE"""),214.5)</f>
        <v>214.5</v>
      </c>
      <c r="E56" s="5">
        <f>IFERROR(__xludf.DUMMYFUNCTION("""COMPUTED_VALUE"""),216.79)</f>
        <v>216.79</v>
      </c>
      <c r="F56" s="5">
        <f>IFERROR(__xludf.DUMMYFUNCTION("""COMPUTED_VALUE"""),4.5519339E7)</f>
        <v>45519339</v>
      </c>
    </row>
    <row r="57">
      <c r="A57" s="7">
        <f>IFERROR(__xludf.DUMMYFUNCTION("""COMPUTED_VALUE"""),45553.66666666667)</f>
        <v>45553.66667</v>
      </c>
      <c r="B57" s="5">
        <f>IFERROR(__xludf.DUMMYFUNCTION("""COMPUTED_VALUE"""),217.55)</f>
        <v>217.55</v>
      </c>
      <c r="C57" s="5">
        <f>IFERROR(__xludf.DUMMYFUNCTION("""COMPUTED_VALUE"""),222.71)</f>
        <v>222.71</v>
      </c>
      <c r="D57" s="5">
        <f>IFERROR(__xludf.DUMMYFUNCTION("""COMPUTED_VALUE"""),217.54)</f>
        <v>217.54</v>
      </c>
      <c r="E57" s="5">
        <f>IFERROR(__xludf.DUMMYFUNCTION("""COMPUTED_VALUE"""),220.69)</f>
        <v>220.69</v>
      </c>
      <c r="F57" s="5">
        <f>IFERROR(__xludf.DUMMYFUNCTION("""COMPUTED_VALUE"""),5.9894928E7)</f>
        <v>59894928</v>
      </c>
    </row>
    <row r="58">
      <c r="A58" s="7">
        <f>IFERROR(__xludf.DUMMYFUNCTION("""COMPUTED_VALUE"""),45554.66666666667)</f>
        <v>45554.66667</v>
      </c>
      <c r="B58" s="5">
        <f>IFERROR(__xludf.DUMMYFUNCTION("""COMPUTED_VALUE"""),224.99)</f>
        <v>224.99</v>
      </c>
      <c r="C58" s="5">
        <f>IFERROR(__xludf.DUMMYFUNCTION("""COMPUTED_VALUE"""),229.82)</f>
        <v>229.82</v>
      </c>
      <c r="D58" s="5">
        <f>IFERROR(__xludf.DUMMYFUNCTION("""COMPUTED_VALUE"""),224.63)</f>
        <v>224.63</v>
      </c>
      <c r="E58" s="5">
        <f>IFERROR(__xludf.DUMMYFUNCTION("""COMPUTED_VALUE"""),228.87)</f>
        <v>228.87</v>
      </c>
      <c r="F58" s="5">
        <f>IFERROR(__xludf.DUMMYFUNCTION("""COMPUTED_VALUE"""),6.6781315E7)</f>
        <v>66781315</v>
      </c>
    </row>
    <row r="59">
      <c r="A59" s="7">
        <f>IFERROR(__xludf.DUMMYFUNCTION("""COMPUTED_VALUE"""),45555.66666666667)</f>
        <v>45555.66667</v>
      </c>
      <c r="B59" s="5">
        <f>IFERROR(__xludf.DUMMYFUNCTION("""COMPUTED_VALUE"""),229.97)</f>
        <v>229.97</v>
      </c>
      <c r="C59" s="5">
        <f>IFERROR(__xludf.DUMMYFUNCTION("""COMPUTED_VALUE"""),233.09)</f>
        <v>233.09</v>
      </c>
      <c r="D59" s="5">
        <f>IFERROR(__xludf.DUMMYFUNCTION("""COMPUTED_VALUE"""),227.62)</f>
        <v>227.62</v>
      </c>
      <c r="E59" s="5">
        <f>IFERROR(__xludf.DUMMYFUNCTION("""COMPUTED_VALUE"""),228.2)</f>
        <v>228.2</v>
      </c>
      <c r="F59" s="5">
        <f>IFERROR(__xludf.DUMMYFUNCTION("""COMPUTED_VALUE"""),3.18679888E8)</f>
        <v>318679888</v>
      </c>
    </row>
    <row r="60">
      <c r="A60" s="7">
        <f>IFERROR(__xludf.DUMMYFUNCTION("""COMPUTED_VALUE"""),45558.66666666667)</f>
        <v>45558.66667</v>
      </c>
      <c r="B60" s="5">
        <f>IFERROR(__xludf.DUMMYFUNCTION("""COMPUTED_VALUE"""),227.34)</f>
        <v>227.34</v>
      </c>
      <c r="C60" s="5">
        <f>IFERROR(__xludf.DUMMYFUNCTION("""COMPUTED_VALUE"""),229.45)</f>
        <v>229.45</v>
      </c>
      <c r="D60" s="5">
        <f>IFERROR(__xludf.DUMMYFUNCTION("""COMPUTED_VALUE"""),225.81)</f>
        <v>225.81</v>
      </c>
      <c r="E60" s="5">
        <f>IFERROR(__xludf.DUMMYFUNCTION("""COMPUTED_VALUE"""),226.47)</f>
        <v>226.47</v>
      </c>
      <c r="F60" s="5">
        <f>IFERROR(__xludf.DUMMYFUNCTION("""COMPUTED_VALUE"""),5.4146023E7)</f>
        <v>54146023</v>
      </c>
    </row>
    <row r="61">
      <c r="A61" s="7">
        <f>IFERROR(__xludf.DUMMYFUNCTION("""COMPUTED_VALUE"""),45559.66666666667)</f>
        <v>45559.66667</v>
      </c>
      <c r="B61" s="5">
        <f>IFERROR(__xludf.DUMMYFUNCTION("""COMPUTED_VALUE"""),228.65)</f>
        <v>228.65</v>
      </c>
      <c r="C61" s="5">
        <f>IFERROR(__xludf.DUMMYFUNCTION("""COMPUTED_VALUE"""),229.35)</f>
        <v>229.35</v>
      </c>
      <c r="D61" s="5">
        <f>IFERROR(__xludf.DUMMYFUNCTION("""COMPUTED_VALUE"""),225.73)</f>
        <v>225.73</v>
      </c>
      <c r="E61" s="5">
        <f>IFERROR(__xludf.DUMMYFUNCTION("""COMPUTED_VALUE"""),227.37)</f>
        <v>227.37</v>
      </c>
      <c r="F61" s="5">
        <f>IFERROR(__xludf.DUMMYFUNCTION("""COMPUTED_VALUE"""),4.3556068E7)</f>
        <v>43556068</v>
      </c>
    </row>
    <row r="62">
      <c r="A62" s="7">
        <f>IFERROR(__xludf.DUMMYFUNCTION("""COMPUTED_VALUE"""),45560.66666666667)</f>
        <v>45560.66667</v>
      </c>
      <c r="B62" s="5">
        <f>IFERROR(__xludf.DUMMYFUNCTION("""COMPUTED_VALUE"""),224.93)</f>
        <v>224.93</v>
      </c>
      <c r="C62" s="5">
        <f>IFERROR(__xludf.DUMMYFUNCTION("""COMPUTED_VALUE"""),227.29)</f>
        <v>227.29</v>
      </c>
      <c r="D62" s="5">
        <f>IFERROR(__xludf.DUMMYFUNCTION("""COMPUTED_VALUE"""),224.02)</f>
        <v>224.02</v>
      </c>
      <c r="E62" s="5">
        <f>IFERROR(__xludf.DUMMYFUNCTION("""COMPUTED_VALUE"""),226.37)</f>
        <v>226.37</v>
      </c>
      <c r="F62" s="5">
        <f>IFERROR(__xludf.DUMMYFUNCTION("""COMPUTED_VALUE"""),4.2308715E7)</f>
        <v>42308715</v>
      </c>
    </row>
    <row r="63">
      <c r="A63" s="7">
        <f>IFERROR(__xludf.DUMMYFUNCTION("""COMPUTED_VALUE"""),45561.66666666667)</f>
        <v>45561.66667</v>
      </c>
      <c r="B63" s="5">
        <f>IFERROR(__xludf.DUMMYFUNCTION("""COMPUTED_VALUE"""),227.3)</f>
        <v>227.3</v>
      </c>
      <c r="C63" s="5">
        <f>IFERROR(__xludf.DUMMYFUNCTION("""COMPUTED_VALUE"""),228.5)</f>
        <v>228.5</v>
      </c>
      <c r="D63" s="5">
        <f>IFERROR(__xludf.DUMMYFUNCTION("""COMPUTED_VALUE"""),225.41)</f>
        <v>225.41</v>
      </c>
      <c r="E63" s="5">
        <f>IFERROR(__xludf.DUMMYFUNCTION("""COMPUTED_VALUE"""),227.52)</f>
        <v>227.52</v>
      </c>
      <c r="F63" s="5">
        <f>IFERROR(__xludf.DUMMYFUNCTION("""COMPUTED_VALUE"""),3.6636707E7)</f>
        <v>36636707</v>
      </c>
    </row>
    <row r="64">
      <c r="A64" s="7">
        <f>IFERROR(__xludf.DUMMYFUNCTION("""COMPUTED_VALUE"""),45562.66666666667)</f>
        <v>45562.66667</v>
      </c>
      <c r="B64" s="5">
        <f>IFERROR(__xludf.DUMMYFUNCTION("""COMPUTED_VALUE"""),228.46)</f>
        <v>228.46</v>
      </c>
      <c r="C64" s="5">
        <f>IFERROR(__xludf.DUMMYFUNCTION("""COMPUTED_VALUE"""),229.52)</f>
        <v>229.52</v>
      </c>
      <c r="D64" s="5">
        <f>IFERROR(__xludf.DUMMYFUNCTION("""COMPUTED_VALUE"""),227.3)</f>
        <v>227.3</v>
      </c>
      <c r="E64" s="5">
        <f>IFERROR(__xludf.DUMMYFUNCTION("""COMPUTED_VALUE"""),227.79)</f>
        <v>227.79</v>
      </c>
      <c r="F64" s="5">
        <f>IFERROR(__xludf.DUMMYFUNCTION("""COMPUTED_VALUE"""),3.4025967E7)</f>
        <v>34025967</v>
      </c>
    </row>
    <row r="65">
      <c r="A65" s="7">
        <f>IFERROR(__xludf.DUMMYFUNCTION("""COMPUTED_VALUE"""),45565.66666666667)</f>
        <v>45565.66667</v>
      </c>
      <c r="B65" s="5">
        <f>IFERROR(__xludf.DUMMYFUNCTION("""COMPUTED_VALUE"""),230.04)</f>
        <v>230.04</v>
      </c>
      <c r="C65" s="5">
        <f>IFERROR(__xludf.DUMMYFUNCTION("""COMPUTED_VALUE"""),233.0)</f>
        <v>233</v>
      </c>
      <c r="D65" s="5">
        <f>IFERROR(__xludf.DUMMYFUNCTION("""COMPUTED_VALUE"""),229.65)</f>
        <v>229.65</v>
      </c>
      <c r="E65" s="5">
        <f>IFERROR(__xludf.DUMMYFUNCTION("""COMPUTED_VALUE"""),233.0)</f>
        <v>233</v>
      </c>
      <c r="F65" s="5">
        <f>IFERROR(__xludf.DUMMYFUNCTION("""COMPUTED_VALUE"""),5.4793391E7)</f>
        <v>54793391</v>
      </c>
    </row>
    <row r="66">
      <c r="A66" s="7">
        <f>IFERROR(__xludf.DUMMYFUNCTION("""COMPUTED_VALUE"""),45566.66666666667)</f>
        <v>45566.66667</v>
      </c>
      <c r="B66" s="5">
        <f>IFERROR(__xludf.DUMMYFUNCTION("""COMPUTED_VALUE"""),229.52)</f>
        <v>229.52</v>
      </c>
      <c r="C66" s="5">
        <f>IFERROR(__xludf.DUMMYFUNCTION("""COMPUTED_VALUE"""),229.65)</f>
        <v>229.65</v>
      </c>
      <c r="D66" s="5">
        <f>IFERROR(__xludf.DUMMYFUNCTION("""COMPUTED_VALUE"""),223.74)</f>
        <v>223.74</v>
      </c>
      <c r="E66" s="5">
        <f>IFERROR(__xludf.DUMMYFUNCTION("""COMPUTED_VALUE"""),226.21)</f>
        <v>226.21</v>
      </c>
      <c r="F66" s="5">
        <f>IFERROR(__xludf.DUMMYFUNCTION("""COMPUTED_VALUE"""),6.3285048E7)</f>
        <v>63285048</v>
      </c>
    </row>
    <row r="67">
      <c r="A67" s="7">
        <f>IFERROR(__xludf.DUMMYFUNCTION("""COMPUTED_VALUE"""),45567.66666666667)</f>
        <v>45567.66667</v>
      </c>
      <c r="B67" s="5">
        <f>IFERROR(__xludf.DUMMYFUNCTION("""COMPUTED_VALUE"""),225.89)</f>
        <v>225.89</v>
      </c>
      <c r="C67" s="5">
        <f>IFERROR(__xludf.DUMMYFUNCTION("""COMPUTED_VALUE"""),227.37)</f>
        <v>227.37</v>
      </c>
      <c r="D67" s="5">
        <f>IFERROR(__xludf.DUMMYFUNCTION("""COMPUTED_VALUE"""),223.02)</f>
        <v>223.02</v>
      </c>
      <c r="E67" s="5">
        <f>IFERROR(__xludf.DUMMYFUNCTION("""COMPUTED_VALUE"""),226.78)</f>
        <v>226.78</v>
      </c>
      <c r="F67" s="5">
        <f>IFERROR(__xludf.DUMMYFUNCTION("""COMPUTED_VALUE"""),3.2880605E7)</f>
        <v>32880605</v>
      </c>
    </row>
    <row r="68">
      <c r="A68" s="7">
        <f>IFERROR(__xludf.DUMMYFUNCTION("""COMPUTED_VALUE"""),45568.66666666667)</f>
        <v>45568.66667</v>
      </c>
      <c r="B68" s="5">
        <f>IFERROR(__xludf.DUMMYFUNCTION("""COMPUTED_VALUE"""),225.14)</f>
        <v>225.14</v>
      </c>
      <c r="C68" s="5">
        <f>IFERROR(__xludf.DUMMYFUNCTION("""COMPUTED_VALUE"""),226.81)</f>
        <v>226.81</v>
      </c>
      <c r="D68" s="5">
        <f>IFERROR(__xludf.DUMMYFUNCTION("""COMPUTED_VALUE"""),223.32)</f>
        <v>223.32</v>
      </c>
      <c r="E68" s="5">
        <f>IFERROR(__xludf.DUMMYFUNCTION("""COMPUTED_VALUE"""),225.67)</f>
        <v>225.67</v>
      </c>
      <c r="F68" s="5">
        <f>IFERROR(__xludf.DUMMYFUNCTION("""COMPUTED_VALUE"""),3.4044158E7)</f>
        <v>34044158</v>
      </c>
    </row>
    <row r="69">
      <c r="A69" s="7">
        <f>IFERROR(__xludf.DUMMYFUNCTION("""COMPUTED_VALUE"""),45569.66666666667)</f>
        <v>45569.66667</v>
      </c>
      <c r="B69" s="5">
        <f>IFERROR(__xludf.DUMMYFUNCTION("""COMPUTED_VALUE"""),227.9)</f>
        <v>227.9</v>
      </c>
      <c r="C69" s="5">
        <f>IFERROR(__xludf.DUMMYFUNCTION("""COMPUTED_VALUE"""),228.0)</f>
        <v>228</v>
      </c>
      <c r="D69" s="5">
        <f>IFERROR(__xludf.DUMMYFUNCTION("""COMPUTED_VALUE"""),224.13)</f>
        <v>224.13</v>
      </c>
      <c r="E69" s="5">
        <f>IFERROR(__xludf.DUMMYFUNCTION("""COMPUTED_VALUE"""),226.8)</f>
        <v>226.8</v>
      </c>
      <c r="F69" s="5">
        <f>IFERROR(__xludf.DUMMYFUNCTION("""COMPUTED_VALUE"""),3.7345098E7)</f>
        <v>37345098</v>
      </c>
    </row>
    <row r="70">
      <c r="A70" s="7">
        <f>IFERROR(__xludf.DUMMYFUNCTION("""COMPUTED_VALUE"""),45572.66666666667)</f>
        <v>45572.66667</v>
      </c>
      <c r="B70" s="5">
        <f>IFERROR(__xludf.DUMMYFUNCTION("""COMPUTED_VALUE"""),224.5)</f>
        <v>224.5</v>
      </c>
      <c r="C70" s="5">
        <f>IFERROR(__xludf.DUMMYFUNCTION("""COMPUTED_VALUE"""),225.69)</f>
        <v>225.69</v>
      </c>
      <c r="D70" s="5">
        <f>IFERROR(__xludf.DUMMYFUNCTION("""COMPUTED_VALUE"""),221.33)</f>
        <v>221.33</v>
      </c>
      <c r="E70" s="5">
        <f>IFERROR(__xludf.DUMMYFUNCTION("""COMPUTED_VALUE"""),221.69)</f>
        <v>221.69</v>
      </c>
      <c r="F70" s="5">
        <f>IFERROR(__xludf.DUMMYFUNCTION("""COMPUTED_VALUE"""),3.9505354E7)</f>
        <v>39505354</v>
      </c>
    </row>
    <row r="71">
      <c r="A71" s="7">
        <f>IFERROR(__xludf.DUMMYFUNCTION("""COMPUTED_VALUE"""),45573.66666666667)</f>
        <v>45573.66667</v>
      </c>
      <c r="B71" s="5">
        <f>IFERROR(__xludf.DUMMYFUNCTION("""COMPUTED_VALUE"""),224.3)</f>
        <v>224.3</v>
      </c>
      <c r="C71" s="5">
        <f>IFERROR(__xludf.DUMMYFUNCTION("""COMPUTED_VALUE"""),225.98)</f>
        <v>225.98</v>
      </c>
      <c r="D71" s="5">
        <f>IFERROR(__xludf.DUMMYFUNCTION("""COMPUTED_VALUE"""),223.25)</f>
        <v>223.25</v>
      </c>
      <c r="E71" s="5">
        <f>IFERROR(__xludf.DUMMYFUNCTION("""COMPUTED_VALUE"""),225.77)</f>
        <v>225.77</v>
      </c>
      <c r="F71" s="5">
        <f>IFERROR(__xludf.DUMMYFUNCTION("""COMPUTED_VALUE"""),3.1855693E7)</f>
        <v>31855693</v>
      </c>
    </row>
    <row r="72">
      <c r="A72" s="7">
        <f>IFERROR(__xludf.DUMMYFUNCTION("""COMPUTED_VALUE"""),45574.66666666667)</f>
        <v>45574.66667</v>
      </c>
      <c r="B72" s="5">
        <f>IFERROR(__xludf.DUMMYFUNCTION("""COMPUTED_VALUE"""),225.23)</f>
        <v>225.23</v>
      </c>
      <c r="C72" s="5">
        <f>IFERROR(__xludf.DUMMYFUNCTION("""COMPUTED_VALUE"""),229.75)</f>
        <v>229.75</v>
      </c>
      <c r="D72" s="5">
        <f>IFERROR(__xludf.DUMMYFUNCTION("""COMPUTED_VALUE"""),224.83)</f>
        <v>224.83</v>
      </c>
      <c r="E72" s="5">
        <f>IFERROR(__xludf.DUMMYFUNCTION("""COMPUTED_VALUE"""),229.54)</f>
        <v>229.54</v>
      </c>
      <c r="F72" s="5">
        <f>IFERROR(__xludf.DUMMYFUNCTION("""COMPUTED_VALUE"""),3.3591091E7)</f>
        <v>33591091</v>
      </c>
    </row>
    <row r="73">
      <c r="A73" s="7">
        <f>IFERROR(__xludf.DUMMYFUNCTION("""COMPUTED_VALUE"""),45575.66666666667)</f>
        <v>45575.66667</v>
      </c>
      <c r="B73" s="5">
        <f>IFERROR(__xludf.DUMMYFUNCTION("""COMPUTED_VALUE"""),227.78)</f>
        <v>227.78</v>
      </c>
      <c r="C73" s="5">
        <f>IFERROR(__xludf.DUMMYFUNCTION("""COMPUTED_VALUE"""),229.5)</f>
        <v>229.5</v>
      </c>
      <c r="D73" s="5">
        <f>IFERROR(__xludf.DUMMYFUNCTION("""COMPUTED_VALUE"""),227.17)</f>
        <v>227.17</v>
      </c>
      <c r="E73" s="5">
        <f>IFERROR(__xludf.DUMMYFUNCTION("""COMPUTED_VALUE"""),229.04)</f>
        <v>229.04</v>
      </c>
      <c r="F73" s="5">
        <f>IFERROR(__xludf.DUMMYFUNCTION("""COMPUTED_VALUE"""),2.8183544E7)</f>
        <v>28183544</v>
      </c>
    </row>
    <row r="74">
      <c r="A74" s="7">
        <f>IFERROR(__xludf.DUMMYFUNCTION("""COMPUTED_VALUE"""),45576.66666666667)</f>
        <v>45576.66667</v>
      </c>
      <c r="B74" s="5">
        <f>IFERROR(__xludf.DUMMYFUNCTION("""COMPUTED_VALUE"""),229.3)</f>
        <v>229.3</v>
      </c>
      <c r="C74" s="5">
        <f>IFERROR(__xludf.DUMMYFUNCTION("""COMPUTED_VALUE"""),229.41)</f>
        <v>229.41</v>
      </c>
      <c r="D74" s="5">
        <f>IFERROR(__xludf.DUMMYFUNCTION("""COMPUTED_VALUE"""),227.34)</f>
        <v>227.34</v>
      </c>
      <c r="E74" s="5">
        <f>IFERROR(__xludf.DUMMYFUNCTION("""COMPUTED_VALUE"""),227.55)</f>
        <v>227.55</v>
      </c>
      <c r="F74" s="5">
        <f>IFERROR(__xludf.DUMMYFUNCTION("""COMPUTED_VALUE"""),3.1759188E7)</f>
        <v>31759188</v>
      </c>
    </row>
    <row r="75">
      <c r="A75" s="7">
        <f>IFERROR(__xludf.DUMMYFUNCTION("""COMPUTED_VALUE"""),45579.66666666667)</f>
        <v>45579.66667</v>
      </c>
      <c r="B75" s="5">
        <f>IFERROR(__xludf.DUMMYFUNCTION("""COMPUTED_VALUE"""),228.7)</f>
        <v>228.7</v>
      </c>
      <c r="C75" s="5">
        <f>IFERROR(__xludf.DUMMYFUNCTION("""COMPUTED_VALUE"""),231.73)</f>
        <v>231.73</v>
      </c>
      <c r="D75" s="5">
        <f>IFERROR(__xludf.DUMMYFUNCTION("""COMPUTED_VALUE"""),228.6)</f>
        <v>228.6</v>
      </c>
      <c r="E75" s="5">
        <f>IFERROR(__xludf.DUMMYFUNCTION("""COMPUTED_VALUE"""),231.3)</f>
        <v>231.3</v>
      </c>
      <c r="F75" s="5">
        <f>IFERROR(__xludf.DUMMYFUNCTION("""COMPUTED_VALUE"""),3.9882085E7)</f>
        <v>39882085</v>
      </c>
    </row>
    <row r="76">
      <c r="A76" s="7">
        <f>IFERROR(__xludf.DUMMYFUNCTION("""COMPUTED_VALUE"""),45580.66666666667)</f>
        <v>45580.66667</v>
      </c>
      <c r="B76" s="5">
        <f>IFERROR(__xludf.DUMMYFUNCTION("""COMPUTED_VALUE"""),233.61)</f>
        <v>233.61</v>
      </c>
      <c r="C76" s="5">
        <f>IFERROR(__xludf.DUMMYFUNCTION("""COMPUTED_VALUE"""),237.49)</f>
        <v>237.49</v>
      </c>
      <c r="D76" s="5">
        <f>IFERROR(__xludf.DUMMYFUNCTION("""COMPUTED_VALUE"""),232.37)</f>
        <v>232.37</v>
      </c>
      <c r="E76" s="5">
        <f>IFERROR(__xludf.DUMMYFUNCTION("""COMPUTED_VALUE"""),233.85)</f>
        <v>233.85</v>
      </c>
      <c r="F76" s="5">
        <f>IFERROR(__xludf.DUMMYFUNCTION("""COMPUTED_VALUE"""),6.4751367E7)</f>
        <v>64751367</v>
      </c>
    </row>
    <row r="77">
      <c r="A77" s="7">
        <f>IFERROR(__xludf.DUMMYFUNCTION("""COMPUTED_VALUE"""),45581.66666666667)</f>
        <v>45581.66667</v>
      </c>
      <c r="B77" s="5">
        <f>IFERROR(__xludf.DUMMYFUNCTION("""COMPUTED_VALUE"""),231.6)</f>
        <v>231.6</v>
      </c>
      <c r="C77" s="5">
        <f>IFERROR(__xludf.DUMMYFUNCTION("""COMPUTED_VALUE"""),232.12)</f>
        <v>232.12</v>
      </c>
      <c r="D77" s="5">
        <f>IFERROR(__xludf.DUMMYFUNCTION("""COMPUTED_VALUE"""),229.84)</f>
        <v>229.84</v>
      </c>
      <c r="E77" s="5">
        <f>IFERROR(__xludf.DUMMYFUNCTION("""COMPUTED_VALUE"""),231.78)</f>
        <v>231.78</v>
      </c>
      <c r="F77" s="5">
        <f>IFERROR(__xludf.DUMMYFUNCTION("""COMPUTED_VALUE"""),3.408224E7)</f>
        <v>34082240</v>
      </c>
    </row>
    <row r="78">
      <c r="A78" s="7">
        <f>IFERROR(__xludf.DUMMYFUNCTION("""COMPUTED_VALUE"""),45582.66666666667)</f>
        <v>45582.66667</v>
      </c>
      <c r="B78" s="5">
        <f>IFERROR(__xludf.DUMMYFUNCTION("""COMPUTED_VALUE"""),233.43)</f>
        <v>233.43</v>
      </c>
      <c r="C78" s="5">
        <f>IFERROR(__xludf.DUMMYFUNCTION("""COMPUTED_VALUE"""),233.85)</f>
        <v>233.85</v>
      </c>
      <c r="D78" s="5">
        <f>IFERROR(__xludf.DUMMYFUNCTION("""COMPUTED_VALUE"""),230.52)</f>
        <v>230.52</v>
      </c>
      <c r="E78" s="5">
        <f>IFERROR(__xludf.DUMMYFUNCTION("""COMPUTED_VALUE"""),232.15)</f>
        <v>232.15</v>
      </c>
      <c r="F78" s="5">
        <f>IFERROR(__xludf.DUMMYFUNCTION("""COMPUTED_VALUE"""),3.299381E7)</f>
        <v>32993810</v>
      </c>
    </row>
    <row r="79">
      <c r="A79" s="7">
        <f>IFERROR(__xludf.DUMMYFUNCTION("""COMPUTED_VALUE"""),45583.66666666667)</f>
        <v>45583.66667</v>
      </c>
      <c r="B79" s="5">
        <f>IFERROR(__xludf.DUMMYFUNCTION("""COMPUTED_VALUE"""),236.18)</f>
        <v>236.18</v>
      </c>
      <c r="C79" s="5">
        <f>IFERROR(__xludf.DUMMYFUNCTION("""COMPUTED_VALUE"""),236.18)</f>
        <v>236.18</v>
      </c>
      <c r="D79" s="5">
        <f>IFERROR(__xludf.DUMMYFUNCTION("""COMPUTED_VALUE"""),234.01)</f>
        <v>234.01</v>
      </c>
      <c r="E79" s="5">
        <f>IFERROR(__xludf.DUMMYFUNCTION("""COMPUTED_VALUE"""),235.0)</f>
        <v>235</v>
      </c>
      <c r="F79" s="5">
        <f>IFERROR(__xludf.DUMMYFUNCTION("""COMPUTED_VALUE"""),4.6431472E7)</f>
        <v>46431472</v>
      </c>
    </row>
    <row r="80">
      <c r="A80" s="7">
        <f>IFERROR(__xludf.DUMMYFUNCTION("""COMPUTED_VALUE"""),45586.66666666667)</f>
        <v>45586.66667</v>
      </c>
      <c r="B80" s="5">
        <f>IFERROR(__xludf.DUMMYFUNCTION("""COMPUTED_VALUE"""),234.45)</f>
        <v>234.45</v>
      </c>
      <c r="C80" s="5">
        <f>IFERROR(__xludf.DUMMYFUNCTION("""COMPUTED_VALUE"""),236.85)</f>
        <v>236.85</v>
      </c>
      <c r="D80" s="5">
        <f>IFERROR(__xludf.DUMMYFUNCTION("""COMPUTED_VALUE"""),234.45)</f>
        <v>234.45</v>
      </c>
      <c r="E80" s="5">
        <f>IFERROR(__xludf.DUMMYFUNCTION("""COMPUTED_VALUE"""),236.48)</f>
        <v>236.48</v>
      </c>
      <c r="F80" s="5">
        <f>IFERROR(__xludf.DUMMYFUNCTION("""COMPUTED_VALUE"""),3.625447E7)</f>
        <v>36254470</v>
      </c>
    </row>
    <row r="81">
      <c r="A81" s="7">
        <f>IFERROR(__xludf.DUMMYFUNCTION("""COMPUTED_VALUE"""),45587.66666666667)</f>
        <v>45587.66667</v>
      </c>
      <c r="B81" s="5">
        <f>IFERROR(__xludf.DUMMYFUNCTION("""COMPUTED_VALUE"""),233.89)</f>
        <v>233.89</v>
      </c>
      <c r="C81" s="5">
        <f>IFERROR(__xludf.DUMMYFUNCTION("""COMPUTED_VALUE"""),236.22)</f>
        <v>236.22</v>
      </c>
      <c r="D81" s="5">
        <f>IFERROR(__xludf.DUMMYFUNCTION("""COMPUTED_VALUE"""),232.6)</f>
        <v>232.6</v>
      </c>
      <c r="E81" s="5">
        <f>IFERROR(__xludf.DUMMYFUNCTION("""COMPUTED_VALUE"""),235.86)</f>
        <v>235.86</v>
      </c>
      <c r="F81" s="5">
        <f>IFERROR(__xludf.DUMMYFUNCTION("""COMPUTED_VALUE"""),3.8846578E7)</f>
        <v>38846578</v>
      </c>
    </row>
    <row r="82">
      <c r="A82" s="7">
        <f>IFERROR(__xludf.DUMMYFUNCTION("""COMPUTED_VALUE"""),45588.66666666667)</f>
        <v>45588.66667</v>
      </c>
      <c r="B82" s="5">
        <f>IFERROR(__xludf.DUMMYFUNCTION("""COMPUTED_VALUE"""),234.08)</f>
        <v>234.08</v>
      </c>
      <c r="C82" s="5">
        <f>IFERROR(__xludf.DUMMYFUNCTION("""COMPUTED_VALUE"""),235.14)</f>
        <v>235.14</v>
      </c>
      <c r="D82" s="5">
        <f>IFERROR(__xludf.DUMMYFUNCTION("""COMPUTED_VALUE"""),227.76)</f>
        <v>227.76</v>
      </c>
      <c r="E82" s="5">
        <f>IFERROR(__xludf.DUMMYFUNCTION("""COMPUTED_VALUE"""),230.76)</f>
        <v>230.76</v>
      </c>
      <c r="F82" s="5">
        <f>IFERROR(__xludf.DUMMYFUNCTION("""COMPUTED_VALUE"""),5.2286979E7)</f>
        <v>52286979</v>
      </c>
    </row>
    <row r="83">
      <c r="A83" s="7">
        <f>IFERROR(__xludf.DUMMYFUNCTION("""COMPUTED_VALUE"""),45589.66666666667)</f>
        <v>45589.66667</v>
      </c>
      <c r="B83" s="5">
        <f>IFERROR(__xludf.DUMMYFUNCTION("""COMPUTED_VALUE"""),229.98)</f>
        <v>229.98</v>
      </c>
      <c r="C83" s="5">
        <f>IFERROR(__xludf.DUMMYFUNCTION("""COMPUTED_VALUE"""),230.82)</f>
        <v>230.82</v>
      </c>
      <c r="D83" s="5">
        <f>IFERROR(__xludf.DUMMYFUNCTION("""COMPUTED_VALUE"""),228.41)</f>
        <v>228.41</v>
      </c>
      <c r="E83" s="5">
        <f>IFERROR(__xludf.DUMMYFUNCTION("""COMPUTED_VALUE"""),230.57)</f>
        <v>230.57</v>
      </c>
      <c r="F83" s="5">
        <f>IFERROR(__xludf.DUMMYFUNCTION("""COMPUTED_VALUE"""),3.1109503E7)</f>
        <v>31109503</v>
      </c>
    </row>
    <row r="84">
      <c r="A84" s="7">
        <f>IFERROR(__xludf.DUMMYFUNCTION("""COMPUTED_VALUE"""),45590.66666666667)</f>
        <v>45590.66667</v>
      </c>
      <c r="B84" s="5">
        <f>IFERROR(__xludf.DUMMYFUNCTION("""COMPUTED_VALUE"""),229.74)</f>
        <v>229.74</v>
      </c>
      <c r="C84" s="5">
        <f>IFERROR(__xludf.DUMMYFUNCTION("""COMPUTED_VALUE"""),233.22)</f>
        <v>233.22</v>
      </c>
      <c r="D84" s="5">
        <f>IFERROR(__xludf.DUMMYFUNCTION("""COMPUTED_VALUE"""),229.57)</f>
        <v>229.57</v>
      </c>
      <c r="E84" s="5">
        <f>IFERROR(__xludf.DUMMYFUNCTION("""COMPUTED_VALUE"""),231.41)</f>
        <v>231.41</v>
      </c>
      <c r="F84" s="5">
        <f>IFERROR(__xludf.DUMMYFUNCTION("""COMPUTED_VALUE"""),3.8802304E7)</f>
        <v>38802304</v>
      </c>
    </row>
    <row r="85">
      <c r="A85" s="7">
        <f>IFERROR(__xludf.DUMMYFUNCTION("""COMPUTED_VALUE"""),45593.66666666667)</f>
        <v>45593.66667</v>
      </c>
      <c r="B85" s="5">
        <f>IFERROR(__xludf.DUMMYFUNCTION("""COMPUTED_VALUE"""),233.32)</f>
        <v>233.32</v>
      </c>
      <c r="C85" s="5">
        <f>IFERROR(__xludf.DUMMYFUNCTION("""COMPUTED_VALUE"""),234.73)</f>
        <v>234.73</v>
      </c>
      <c r="D85" s="5">
        <f>IFERROR(__xludf.DUMMYFUNCTION("""COMPUTED_VALUE"""),232.55)</f>
        <v>232.55</v>
      </c>
      <c r="E85" s="5">
        <f>IFERROR(__xludf.DUMMYFUNCTION("""COMPUTED_VALUE"""),233.4)</f>
        <v>233.4</v>
      </c>
      <c r="F85" s="5">
        <f>IFERROR(__xludf.DUMMYFUNCTION("""COMPUTED_VALUE"""),3.6087134E7)</f>
        <v>36087134</v>
      </c>
    </row>
    <row r="86">
      <c r="A86" s="7">
        <f>IFERROR(__xludf.DUMMYFUNCTION("""COMPUTED_VALUE"""),45594.66666666667)</f>
        <v>45594.66667</v>
      </c>
      <c r="B86" s="5">
        <f>IFERROR(__xludf.DUMMYFUNCTION("""COMPUTED_VALUE"""),233.1)</f>
        <v>233.1</v>
      </c>
      <c r="C86" s="5">
        <f>IFERROR(__xludf.DUMMYFUNCTION("""COMPUTED_VALUE"""),234.33)</f>
        <v>234.33</v>
      </c>
      <c r="D86" s="5">
        <f>IFERROR(__xludf.DUMMYFUNCTION("""COMPUTED_VALUE"""),232.32)</f>
        <v>232.32</v>
      </c>
      <c r="E86" s="5">
        <f>IFERROR(__xludf.DUMMYFUNCTION("""COMPUTED_VALUE"""),233.67)</f>
        <v>233.67</v>
      </c>
      <c r="F86" s="5">
        <f>IFERROR(__xludf.DUMMYFUNCTION("""COMPUTED_VALUE"""),3.5417247E7)</f>
        <v>35417247</v>
      </c>
    </row>
    <row r="87">
      <c r="A87" s="7">
        <f>IFERROR(__xludf.DUMMYFUNCTION("""COMPUTED_VALUE"""),45595.66666666667)</f>
        <v>45595.66667</v>
      </c>
      <c r="B87" s="5">
        <f>IFERROR(__xludf.DUMMYFUNCTION("""COMPUTED_VALUE"""),232.61)</f>
        <v>232.61</v>
      </c>
      <c r="C87" s="5">
        <f>IFERROR(__xludf.DUMMYFUNCTION("""COMPUTED_VALUE"""),233.47)</f>
        <v>233.47</v>
      </c>
      <c r="D87" s="5">
        <f>IFERROR(__xludf.DUMMYFUNCTION("""COMPUTED_VALUE"""),229.55)</f>
        <v>229.55</v>
      </c>
      <c r="E87" s="5">
        <f>IFERROR(__xludf.DUMMYFUNCTION("""COMPUTED_VALUE"""),230.1)</f>
        <v>230.1</v>
      </c>
      <c r="F87" s="5">
        <f>IFERROR(__xludf.DUMMYFUNCTION("""COMPUTED_VALUE"""),4.7070907E7)</f>
        <v>47070907</v>
      </c>
    </row>
    <row r="88">
      <c r="A88" s="7">
        <f>IFERROR(__xludf.DUMMYFUNCTION("""COMPUTED_VALUE"""),45596.66666666667)</f>
        <v>45596.66667</v>
      </c>
      <c r="B88" s="5">
        <f>IFERROR(__xludf.DUMMYFUNCTION("""COMPUTED_VALUE"""),229.34)</f>
        <v>229.34</v>
      </c>
      <c r="C88" s="5">
        <f>IFERROR(__xludf.DUMMYFUNCTION("""COMPUTED_VALUE"""),229.83)</f>
        <v>229.83</v>
      </c>
      <c r="D88" s="5">
        <f>IFERROR(__xludf.DUMMYFUNCTION("""COMPUTED_VALUE"""),225.37)</f>
        <v>225.37</v>
      </c>
      <c r="E88" s="5">
        <f>IFERROR(__xludf.DUMMYFUNCTION("""COMPUTED_VALUE"""),225.91)</f>
        <v>225.91</v>
      </c>
      <c r="F88" s="5">
        <f>IFERROR(__xludf.DUMMYFUNCTION("""COMPUTED_VALUE"""),6.4370086E7)</f>
        <v>64370086</v>
      </c>
    </row>
    <row r="89">
      <c r="A89" s="7">
        <f>IFERROR(__xludf.DUMMYFUNCTION("""COMPUTED_VALUE"""),45597.66666666667)</f>
        <v>45597.66667</v>
      </c>
      <c r="B89" s="5">
        <f>IFERROR(__xludf.DUMMYFUNCTION("""COMPUTED_VALUE"""),220.97)</f>
        <v>220.97</v>
      </c>
      <c r="C89" s="5">
        <f>IFERROR(__xludf.DUMMYFUNCTION("""COMPUTED_VALUE"""),225.35)</f>
        <v>225.35</v>
      </c>
      <c r="D89" s="5">
        <f>IFERROR(__xludf.DUMMYFUNCTION("""COMPUTED_VALUE"""),220.27)</f>
        <v>220.27</v>
      </c>
      <c r="E89" s="5">
        <f>IFERROR(__xludf.DUMMYFUNCTION("""COMPUTED_VALUE"""),222.91)</f>
        <v>222.91</v>
      </c>
      <c r="F89" s="5">
        <f>IFERROR(__xludf.DUMMYFUNCTION("""COMPUTED_VALUE"""),6.5276741E7)</f>
        <v>65276741</v>
      </c>
    </row>
    <row r="90">
      <c r="A90" s="7">
        <f>IFERROR(__xludf.DUMMYFUNCTION("""COMPUTED_VALUE"""),45600.66666666667)</f>
        <v>45600.66667</v>
      </c>
      <c r="B90" s="5">
        <f>IFERROR(__xludf.DUMMYFUNCTION("""COMPUTED_VALUE"""),220.99)</f>
        <v>220.99</v>
      </c>
      <c r="C90" s="5">
        <f>IFERROR(__xludf.DUMMYFUNCTION("""COMPUTED_VALUE"""),222.79)</f>
        <v>222.79</v>
      </c>
      <c r="D90" s="5">
        <f>IFERROR(__xludf.DUMMYFUNCTION("""COMPUTED_VALUE"""),219.71)</f>
        <v>219.71</v>
      </c>
      <c r="E90" s="5">
        <f>IFERROR(__xludf.DUMMYFUNCTION("""COMPUTED_VALUE"""),222.01)</f>
        <v>222.01</v>
      </c>
      <c r="F90" s="5">
        <f>IFERROR(__xludf.DUMMYFUNCTION("""COMPUTED_VALUE"""),4.4944468E7)</f>
        <v>44944468</v>
      </c>
    </row>
    <row r="91">
      <c r="A91" s="7">
        <f>IFERROR(__xludf.DUMMYFUNCTION("""COMPUTED_VALUE"""),45601.66666666667)</f>
        <v>45601.66667</v>
      </c>
      <c r="B91" s="5">
        <f>IFERROR(__xludf.DUMMYFUNCTION("""COMPUTED_VALUE"""),221.8)</f>
        <v>221.8</v>
      </c>
      <c r="C91" s="5">
        <f>IFERROR(__xludf.DUMMYFUNCTION("""COMPUTED_VALUE"""),223.95)</f>
        <v>223.95</v>
      </c>
      <c r="D91" s="5">
        <f>IFERROR(__xludf.DUMMYFUNCTION("""COMPUTED_VALUE"""),221.14)</f>
        <v>221.14</v>
      </c>
      <c r="E91" s="5">
        <f>IFERROR(__xludf.DUMMYFUNCTION("""COMPUTED_VALUE"""),223.45)</f>
        <v>223.45</v>
      </c>
      <c r="F91" s="5">
        <f>IFERROR(__xludf.DUMMYFUNCTION("""COMPUTED_VALUE"""),2.8111338E7)</f>
        <v>28111338</v>
      </c>
    </row>
    <row r="92">
      <c r="A92" s="7">
        <f>IFERROR(__xludf.DUMMYFUNCTION("""COMPUTED_VALUE"""),45602.66666666667)</f>
        <v>45602.66667</v>
      </c>
      <c r="B92" s="5">
        <f>IFERROR(__xludf.DUMMYFUNCTION("""COMPUTED_VALUE"""),222.61)</f>
        <v>222.61</v>
      </c>
      <c r="C92" s="5">
        <f>IFERROR(__xludf.DUMMYFUNCTION("""COMPUTED_VALUE"""),226.07)</f>
        <v>226.07</v>
      </c>
      <c r="D92" s="5">
        <f>IFERROR(__xludf.DUMMYFUNCTION("""COMPUTED_VALUE"""),221.19)</f>
        <v>221.19</v>
      </c>
      <c r="E92" s="5">
        <f>IFERROR(__xludf.DUMMYFUNCTION("""COMPUTED_VALUE"""),222.72)</f>
        <v>222.72</v>
      </c>
      <c r="F92" s="5">
        <f>IFERROR(__xludf.DUMMYFUNCTION("""COMPUTED_VALUE"""),5.4561121E7)</f>
        <v>54561121</v>
      </c>
    </row>
    <row r="93">
      <c r="A93" s="7">
        <f>IFERROR(__xludf.DUMMYFUNCTION("""COMPUTED_VALUE"""),45603.66666666667)</f>
        <v>45603.66667</v>
      </c>
      <c r="B93" s="5">
        <f>IFERROR(__xludf.DUMMYFUNCTION("""COMPUTED_VALUE"""),224.63)</f>
        <v>224.63</v>
      </c>
      <c r="C93" s="5">
        <f>IFERROR(__xludf.DUMMYFUNCTION("""COMPUTED_VALUE"""),227.88)</f>
        <v>227.88</v>
      </c>
      <c r="D93" s="5">
        <f>IFERROR(__xludf.DUMMYFUNCTION("""COMPUTED_VALUE"""),224.57)</f>
        <v>224.57</v>
      </c>
      <c r="E93" s="5">
        <f>IFERROR(__xludf.DUMMYFUNCTION("""COMPUTED_VALUE"""),227.48)</f>
        <v>227.48</v>
      </c>
      <c r="F93" s="5">
        <f>IFERROR(__xludf.DUMMYFUNCTION("""COMPUTED_VALUE"""),4.2137691E7)</f>
        <v>42137691</v>
      </c>
    </row>
    <row r="94">
      <c r="A94" s="7">
        <f>IFERROR(__xludf.DUMMYFUNCTION("""COMPUTED_VALUE"""),45604.66666666667)</f>
        <v>45604.66667</v>
      </c>
      <c r="B94" s="5">
        <f>IFERROR(__xludf.DUMMYFUNCTION("""COMPUTED_VALUE"""),227.17)</f>
        <v>227.17</v>
      </c>
      <c r="C94" s="5">
        <f>IFERROR(__xludf.DUMMYFUNCTION("""COMPUTED_VALUE"""),228.66)</f>
        <v>228.66</v>
      </c>
      <c r="D94" s="5">
        <f>IFERROR(__xludf.DUMMYFUNCTION("""COMPUTED_VALUE"""),226.41)</f>
        <v>226.41</v>
      </c>
      <c r="E94" s="5">
        <f>IFERROR(__xludf.DUMMYFUNCTION("""COMPUTED_VALUE"""),226.96)</f>
        <v>226.96</v>
      </c>
      <c r="F94" s="5">
        <f>IFERROR(__xludf.DUMMYFUNCTION("""COMPUTED_VALUE"""),3.8328824E7)</f>
        <v>38328824</v>
      </c>
    </row>
    <row r="95">
      <c r="A95" s="7">
        <f>IFERROR(__xludf.DUMMYFUNCTION("""COMPUTED_VALUE"""),45607.66666666667)</f>
        <v>45607.66667</v>
      </c>
      <c r="B95" s="5">
        <f>IFERROR(__xludf.DUMMYFUNCTION("""COMPUTED_VALUE"""),225.0)</f>
        <v>225</v>
      </c>
      <c r="C95" s="5">
        <f>IFERROR(__xludf.DUMMYFUNCTION("""COMPUTED_VALUE"""),225.7)</f>
        <v>225.7</v>
      </c>
      <c r="D95" s="5">
        <f>IFERROR(__xludf.DUMMYFUNCTION("""COMPUTED_VALUE"""),221.5)</f>
        <v>221.5</v>
      </c>
      <c r="E95" s="5">
        <f>IFERROR(__xludf.DUMMYFUNCTION("""COMPUTED_VALUE"""),224.23)</f>
        <v>224.23</v>
      </c>
      <c r="F95" s="5">
        <f>IFERROR(__xludf.DUMMYFUNCTION("""COMPUTED_VALUE"""),4.2005602E7)</f>
        <v>42005602</v>
      </c>
    </row>
    <row r="96">
      <c r="A96" s="7">
        <f>IFERROR(__xludf.DUMMYFUNCTION("""COMPUTED_VALUE"""),45608.66666666667)</f>
        <v>45608.66667</v>
      </c>
      <c r="B96" s="5">
        <f>IFERROR(__xludf.DUMMYFUNCTION("""COMPUTED_VALUE"""),224.55)</f>
        <v>224.55</v>
      </c>
      <c r="C96" s="5">
        <f>IFERROR(__xludf.DUMMYFUNCTION("""COMPUTED_VALUE"""),225.59)</f>
        <v>225.59</v>
      </c>
      <c r="D96" s="5">
        <f>IFERROR(__xludf.DUMMYFUNCTION("""COMPUTED_VALUE"""),223.36)</f>
        <v>223.36</v>
      </c>
      <c r="E96" s="5">
        <f>IFERROR(__xludf.DUMMYFUNCTION("""COMPUTED_VALUE"""),224.23)</f>
        <v>224.23</v>
      </c>
      <c r="F96" s="5">
        <f>IFERROR(__xludf.DUMMYFUNCTION("""COMPUTED_VALUE"""),4.0398299E7)</f>
        <v>40398299</v>
      </c>
    </row>
    <row r="97">
      <c r="A97" s="7">
        <f>IFERROR(__xludf.DUMMYFUNCTION("""COMPUTED_VALUE"""),45609.66666666667)</f>
        <v>45609.66667</v>
      </c>
      <c r="B97" s="5">
        <f>IFERROR(__xludf.DUMMYFUNCTION("""COMPUTED_VALUE"""),224.01)</f>
        <v>224.01</v>
      </c>
      <c r="C97" s="5">
        <f>IFERROR(__xludf.DUMMYFUNCTION("""COMPUTED_VALUE"""),226.65)</f>
        <v>226.65</v>
      </c>
      <c r="D97" s="5">
        <f>IFERROR(__xludf.DUMMYFUNCTION("""COMPUTED_VALUE"""),222.76)</f>
        <v>222.76</v>
      </c>
      <c r="E97" s="5">
        <f>IFERROR(__xludf.DUMMYFUNCTION("""COMPUTED_VALUE"""),225.12)</f>
        <v>225.12</v>
      </c>
      <c r="F97" s="5">
        <f>IFERROR(__xludf.DUMMYFUNCTION("""COMPUTED_VALUE"""),4.8566217E7)</f>
        <v>48566217</v>
      </c>
    </row>
    <row r="98">
      <c r="A98" s="7">
        <f>IFERROR(__xludf.DUMMYFUNCTION("""COMPUTED_VALUE"""),45610.66666666667)</f>
        <v>45610.66667</v>
      </c>
      <c r="B98" s="5">
        <f>IFERROR(__xludf.DUMMYFUNCTION("""COMPUTED_VALUE"""),225.02)</f>
        <v>225.02</v>
      </c>
      <c r="C98" s="5">
        <f>IFERROR(__xludf.DUMMYFUNCTION("""COMPUTED_VALUE"""),228.87)</f>
        <v>228.87</v>
      </c>
      <c r="D98" s="5">
        <f>IFERROR(__xludf.DUMMYFUNCTION("""COMPUTED_VALUE"""),225.0)</f>
        <v>225</v>
      </c>
      <c r="E98" s="5">
        <f>IFERROR(__xludf.DUMMYFUNCTION("""COMPUTED_VALUE"""),228.22)</f>
        <v>228.22</v>
      </c>
      <c r="F98" s="5">
        <f>IFERROR(__xludf.DUMMYFUNCTION("""COMPUTED_VALUE"""),4.4923941E7)</f>
        <v>44923941</v>
      </c>
    </row>
    <row r="99">
      <c r="A99" s="7">
        <f>IFERROR(__xludf.DUMMYFUNCTION("""COMPUTED_VALUE"""),45611.66666666667)</f>
        <v>45611.66667</v>
      </c>
      <c r="B99" s="5">
        <f>IFERROR(__xludf.DUMMYFUNCTION("""COMPUTED_VALUE"""),226.4)</f>
        <v>226.4</v>
      </c>
      <c r="C99" s="5">
        <f>IFERROR(__xludf.DUMMYFUNCTION("""COMPUTED_VALUE"""),226.92)</f>
        <v>226.92</v>
      </c>
      <c r="D99" s="5">
        <f>IFERROR(__xludf.DUMMYFUNCTION("""COMPUTED_VALUE"""),224.27)</f>
        <v>224.27</v>
      </c>
      <c r="E99" s="5">
        <f>IFERROR(__xludf.DUMMYFUNCTION("""COMPUTED_VALUE"""),225.0)</f>
        <v>225</v>
      </c>
      <c r="F99" s="5">
        <f>IFERROR(__xludf.DUMMYFUNCTION("""COMPUTED_VALUE"""),4.7923696E7)</f>
        <v>47923696</v>
      </c>
    </row>
    <row r="100">
      <c r="A100" s="7">
        <f>IFERROR(__xludf.DUMMYFUNCTION("""COMPUTED_VALUE"""),45614.66666666667)</f>
        <v>45614.66667</v>
      </c>
      <c r="B100" s="5">
        <f>IFERROR(__xludf.DUMMYFUNCTION("""COMPUTED_VALUE"""),225.25)</f>
        <v>225.25</v>
      </c>
      <c r="C100" s="5">
        <f>IFERROR(__xludf.DUMMYFUNCTION("""COMPUTED_VALUE"""),229.74)</f>
        <v>229.74</v>
      </c>
      <c r="D100" s="5">
        <f>IFERROR(__xludf.DUMMYFUNCTION("""COMPUTED_VALUE"""),225.17)</f>
        <v>225.17</v>
      </c>
      <c r="E100" s="5">
        <f>IFERROR(__xludf.DUMMYFUNCTION("""COMPUTED_VALUE"""),228.02)</f>
        <v>228.02</v>
      </c>
      <c r="F100" s="5">
        <f>IFERROR(__xludf.DUMMYFUNCTION("""COMPUTED_VALUE"""),4.468602E7)</f>
        <v>44686020</v>
      </c>
    </row>
    <row r="101">
      <c r="A101" s="7">
        <f>IFERROR(__xludf.DUMMYFUNCTION("""COMPUTED_VALUE"""),45615.66666666667)</f>
        <v>45615.66667</v>
      </c>
      <c r="B101" s="5">
        <f>IFERROR(__xludf.DUMMYFUNCTION("""COMPUTED_VALUE"""),226.98)</f>
        <v>226.98</v>
      </c>
      <c r="C101" s="5">
        <f>IFERROR(__xludf.DUMMYFUNCTION("""COMPUTED_VALUE"""),230.16)</f>
        <v>230.16</v>
      </c>
      <c r="D101" s="5">
        <f>IFERROR(__xludf.DUMMYFUNCTION("""COMPUTED_VALUE"""),226.66)</f>
        <v>226.66</v>
      </c>
      <c r="E101" s="5">
        <f>IFERROR(__xludf.DUMMYFUNCTION("""COMPUTED_VALUE"""),228.28)</f>
        <v>228.28</v>
      </c>
      <c r="F101" s="5">
        <f>IFERROR(__xludf.DUMMYFUNCTION("""COMPUTED_VALUE"""),3.6211774E7)</f>
        <v>36211774</v>
      </c>
    </row>
    <row r="102">
      <c r="A102" s="7">
        <f>IFERROR(__xludf.DUMMYFUNCTION("""COMPUTED_VALUE"""),45616.66666666667)</f>
        <v>45616.66667</v>
      </c>
      <c r="B102" s="5">
        <f>IFERROR(__xludf.DUMMYFUNCTION("""COMPUTED_VALUE"""),228.06)</f>
        <v>228.06</v>
      </c>
      <c r="C102" s="5">
        <f>IFERROR(__xludf.DUMMYFUNCTION("""COMPUTED_VALUE"""),229.93)</f>
        <v>229.93</v>
      </c>
      <c r="D102" s="5">
        <f>IFERROR(__xludf.DUMMYFUNCTION("""COMPUTED_VALUE"""),225.89)</f>
        <v>225.89</v>
      </c>
      <c r="E102" s="5">
        <f>IFERROR(__xludf.DUMMYFUNCTION("""COMPUTED_VALUE"""),229.0)</f>
        <v>229</v>
      </c>
      <c r="F102" s="5">
        <f>IFERROR(__xludf.DUMMYFUNCTION("""COMPUTED_VALUE"""),3.5169566E7)</f>
        <v>35169566</v>
      </c>
    </row>
    <row r="103">
      <c r="A103" s="7">
        <f>IFERROR(__xludf.DUMMYFUNCTION("""COMPUTED_VALUE"""),45617.66666666667)</f>
        <v>45617.66667</v>
      </c>
      <c r="B103" s="5">
        <f>IFERROR(__xludf.DUMMYFUNCTION("""COMPUTED_VALUE"""),228.88)</f>
        <v>228.88</v>
      </c>
      <c r="C103" s="5">
        <f>IFERROR(__xludf.DUMMYFUNCTION("""COMPUTED_VALUE"""),230.16)</f>
        <v>230.16</v>
      </c>
      <c r="D103" s="5">
        <f>IFERROR(__xludf.DUMMYFUNCTION("""COMPUTED_VALUE"""),225.71)</f>
        <v>225.71</v>
      </c>
      <c r="E103" s="5">
        <f>IFERROR(__xludf.DUMMYFUNCTION("""COMPUTED_VALUE"""),228.52)</f>
        <v>228.52</v>
      </c>
      <c r="F103" s="5">
        <f>IFERROR(__xludf.DUMMYFUNCTION("""COMPUTED_VALUE"""),4.2108327E7)</f>
        <v>42108327</v>
      </c>
    </row>
    <row r="104">
      <c r="A104" s="7">
        <f>IFERROR(__xludf.DUMMYFUNCTION("""COMPUTED_VALUE"""),45618.66666666667)</f>
        <v>45618.66667</v>
      </c>
      <c r="B104" s="5">
        <f>IFERROR(__xludf.DUMMYFUNCTION("""COMPUTED_VALUE"""),228.06)</f>
        <v>228.06</v>
      </c>
      <c r="C104" s="5">
        <f>IFERROR(__xludf.DUMMYFUNCTION("""COMPUTED_VALUE"""),230.72)</f>
        <v>230.72</v>
      </c>
      <c r="D104" s="5">
        <f>IFERROR(__xludf.DUMMYFUNCTION("""COMPUTED_VALUE"""),228.06)</f>
        <v>228.06</v>
      </c>
      <c r="E104" s="5">
        <f>IFERROR(__xludf.DUMMYFUNCTION("""COMPUTED_VALUE"""),229.87)</f>
        <v>229.87</v>
      </c>
      <c r="F104" s="5">
        <f>IFERROR(__xludf.DUMMYFUNCTION("""COMPUTED_VALUE"""),3.8168252E7)</f>
        <v>38168252</v>
      </c>
    </row>
    <row r="105">
      <c r="A105" s="7">
        <f>IFERROR(__xludf.DUMMYFUNCTION("""COMPUTED_VALUE"""),45621.66666666667)</f>
        <v>45621.66667</v>
      </c>
      <c r="B105" s="5">
        <f>IFERROR(__xludf.DUMMYFUNCTION("""COMPUTED_VALUE"""),231.46)</f>
        <v>231.46</v>
      </c>
      <c r="C105" s="5">
        <f>IFERROR(__xludf.DUMMYFUNCTION("""COMPUTED_VALUE"""),233.25)</f>
        <v>233.25</v>
      </c>
      <c r="D105" s="5">
        <f>IFERROR(__xludf.DUMMYFUNCTION("""COMPUTED_VALUE"""),229.74)</f>
        <v>229.74</v>
      </c>
      <c r="E105" s="5">
        <f>IFERROR(__xludf.DUMMYFUNCTION("""COMPUTED_VALUE"""),232.87)</f>
        <v>232.87</v>
      </c>
      <c r="F105" s="5">
        <f>IFERROR(__xludf.DUMMYFUNCTION("""COMPUTED_VALUE"""),9.0152832E7)</f>
        <v>90152832</v>
      </c>
    </row>
    <row r="106">
      <c r="A106" s="7">
        <f>IFERROR(__xludf.DUMMYFUNCTION("""COMPUTED_VALUE"""),45622.66666666667)</f>
        <v>45622.66667</v>
      </c>
      <c r="B106" s="5">
        <f>IFERROR(__xludf.DUMMYFUNCTION("""COMPUTED_VALUE"""),233.33)</f>
        <v>233.33</v>
      </c>
      <c r="C106" s="5">
        <f>IFERROR(__xludf.DUMMYFUNCTION("""COMPUTED_VALUE"""),235.57)</f>
        <v>235.57</v>
      </c>
      <c r="D106" s="5">
        <f>IFERROR(__xludf.DUMMYFUNCTION("""COMPUTED_VALUE"""),233.33)</f>
        <v>233.33</v>
      </c>
      <c r="E106" s="5">
        <f>IFERROR(__xludf.DUMMYFUNCTION("""COMPUTED_VALUE"""),235.06)</f>
        <v>235.06</v>
      </c>
      <c r="F106" s="5">
        <f>IFERROR(__xludf.DUMMYFUNCTION("""COMPUTED_VALUE"""),4.5986189E7)</f>
        <v>45986189</v>
      </c>
    </row>
    <row r="107">
      <c r="A107" s="7">
        <f>IFERROR(__xludf.DUMMYFUNCTION("""COMPUTED_VALUE"""),45623.66666666667)</f>
        <v>45623.66667</v>
      </c>
      <c r="B107" s="5">
        <f>IFERROR(__xludf.DUMMYFUNCTION("""COMPUTED_VALUE"""),234.47)</f>
        <v>234.47</v>
      </c>
      <c r="C107" s="5">
        <f>IFERROR(__xludf.DUMMYFUNCTION("""COMPUTED_VALUE"""),235.69)</f>
        <v>235.69</v>
      </c>
      <c r="D107" s="5">
        <f>IFERROR(__xludf.DUMMYFUNCTION("""COMPUTED_VALUE"""),233.81)</f>
        <v>233.81</v>
      </c>
      <c r="E107" s="5">
        <f>IFERROR(__xludf.DUMMYFUNCTION("""COMPUTED_VALUE"""),234.93)</f>
        <v>234.93</v>
      </c>
      <c r="F107" s="5">
        <f>IFERROR(__xludf.DUMMYFUNCTION("""COMPUTED_VALUE"""),3.3498439E7)</f>
        <v>33498439</v>
      </c>
    </row>
    <row r="108">
      <c r="A108" s="7">
        <f>IFERROR(__xludf.DUMMYFUNCTION("""COMPUTED_VALUE"""),45625.54513888889)</f>
        <v>45625.54514</v>
      </c>
      <c r="B108" s="5">
        <f>IFERROR(__xludf.DUMMYFUNCTION("""COMPUTED_VALUE"""),234.81)</f>
        <v>234.81</v>
      </c>
      <c r="C108" s="5">
        <f>IFERROR(__xludf.DUMMYFUNCTION("""COMPUTED_VALUE"""),237.81)</f>
        <v>237.81</v>
      </c>
      <c r="D108" s="5">
        <f>IFERROR(__xludf.DUMMYFUNCTION("""COMPUTED_VALUE"""),233.97)</f>
        <v>233.97</v>
      </c>
      <c r="E108" s="5">
        <f>IFERROR(__xludf.DUMMYFUNCTION("""COMPUTED_VALUE"""),237.33)</f>
        <v>237.33</v>
      </c>
      <c r="F108" s="5">
        <f>IFERROR(__xludf.DUMMYFUNCTION("""COMPUTED_VALUE"""),2.8481377E7)</f>
        <v>28481377</v>
      </c>
    </row>
    <row r="109">
      <c r="A109" s="7">
        <f>IFERROR(__xludf.DUMMYFUNCTION("""COMPUTED_VALUE"""),45628.66666666667)</f>
        <v>45628.66667</v>
      </c>
      <c r="B109" s="5">
        <f>IFERROR(__xludf.DUMMYFUNCTION("""COMPUTED_VALUE"""),237.27)</f>
        <v>237.27</v>
      </c>
      <c r="C109" s="5">
        <f>IFERROR(__xludf.DUMMYFUNCTION("""COMPUTED_VALUE"""),240.79)</f>
        <v>240.79</v>
      </c>
      <c r="D109" s="5">
        <f>IFERROR(__xludf.DUMMYFUNCTION("""COMPUTED_VALUE"""),237.16)</f>
        <v>237.16</v>
      </c>
      <c r="E109" s="5">
        <f>IFERROR(__xludf.DUMMYFUNCTION("""COMPUTED_VALUE"""),239.59)</f>
        <v>239.59</v>
      </c>
      <c r="F109" s="5">
        <f>IFERROR(__xludf.DUMMYFUNCTION("""COMPUTED_VALUE"""),4.8137103E7)</f>
        <v>48137103</v>
      </c>
    </row>
    <row r="110">
      <c r="A110" s="7">
        <f>IFERROR(__xludf.DUMMYFUNCTION("""COMPUTED_VALUE"""),45629.66666666667)</f>
        <v>45629.66667</v>
      </c>
      <c r="B110" s="5">
        <f>IFERROR(__xludf.DUMMYFUNCTION("""COMPUTED_VALUE"""),239.81)</f>
        <v>239.81</v>
      </c>
      <c r="C110" s="5">
        <f>IFERROR(__xludf.DUMMYFUNCTION("""COMPUTED_VALUE"""),242.76)</f>
        <v>242.76</v>
      </c>
      <c r="D110" s="5">
        <f>IFERROR(__xludf.DUMMYFUNCTION("""COMPUTED_VALUE"""),238.9)</f>
        <v>238.9</v>
      </c>
      <c r="E110" s="5">
        <f>IFERROR(__xludf.DUMMYFUNCTION("""COMPUTED_VALUE"""),242.65)</f>
        <v>242.65</v>
      </c>
      <c r="F110" s="5">
        <f>IFERROR(__xludf.DUMMYFUNCTION("""COMPUTED_VALUE"""),3.8861017E7)</f>
        <v>38861017</v>
      </c>
    </row>
    <row r="111">
      <c r="A111" s="7">
        <f>IFERROR(__xludf.DUMMYFUNCTION("""COMPUTED_VALUE"""),45630.66666666667)</f>
        <v>45630.66667</v>
      </c>
      <c r="B111" s="5">
        <f>IFERROR(__xludf.DUMMYFUNCTION("""COMPUTED_VALUE"""),242.87)</f>
        <v>242.87</v>
      </c>
      <c r="C111" s="5">
        <f>IFERROR(__xludf.DUMMYFUNCTION("""COMPUTED_VALUE"""),244.11)</f>
        <v>244.11</v>
      </c>
      <c r="D111" s="5">
        <f>IFERROR(__xludf.DUMMYFUNCTION("""COMPUTED_VALUE"""),241.25)</f>
        <v>241.25</v>
      </c>
      <c r="E111" s="5">
        <f>IFERROR(__xludf.DUMMYFUNCTION("""COMPUTED_VALUE"""),243.01)</f>
        <v>243.01</v>
      </c>
      <c r="F111" s="5">
        <f>IFERROR(__xludf.DUMMYFUNCTION("""COMPUTED_VALUE"""),4.4383935E7)</f>
        <v>44383935</v>
      </c>
    </row>
    <row r="112">
      <c r="A112" s="7">
        <f>IFERROR(__xludf.DUMMYFUNCTION("""COMPUTED_VALUE"""),45631.66666666667)</f>
        <v>45631.66667</v>
      </c>
      <c r="B112" s="5">
        <f>IFERROR(__xludf.DUMMYFUNCTION("""COMPUTED_VALUE"""),243.99)</f>
        <v>243.99</v>
      </c>
      <c r="C112" s="5">
        <f>IFERROR(__xludf.DUMMYFUNCTION("""COMPUTED_VALUE"""),244.54)</f>
        <v>244.54</v>
      </c>
      <c r="D112" s="5">
        <f>IFERROR(__xludf.DUMMYFUNCTION("""COMPUTED_VALUE"""),242.13)</f>
        <v>242.13</v>
      </c>
      <c r="E112" s="5">
        <f>IFERROR(__xludf.DUMMYFUNCTION("""COMPUTED_VALUE"""),243.04)</f>
        <v>243.04</v>
      </c>
      <c r="F112" s="5">
        <f>IFERROR(__xludf.DUMMYFUNCTION("""COMPUTED_VALUE"""),4.0033878E7)</f>
        <v>40033878</v>
      </c>
    </row>
    <row r="113">
      <c r="A113" s="7">
        <f>IFERROR(__xludf.DUMMYFUNCTION("""COMPUTED_VALUE"""),45632.66666666667)</f>
        <v>45632.66667</v>
      </c>
      <c r="B113" s="5">
        <f>IFERROR(__xludf.DUMMYFUNCTION("""COMPUTED_VALUE"""),242.91)</f>
        <v>242.91</v>
      </c>
      <c r="C113" s="5">
        <f>IFERROR(__xludf.DUMMYFUNCTION("""COMPUTED_VALUE"""),244.63)</f>
        <v>244.63</v>
      </c>
      <c r="D113" s="5">
        <f>IFERROR(__xludf.DUMMYFUNCTION("""COMPUTED_VALUE"""),242.08)</f>
        <v>242.08</v>
      </c>
      <c r="E113" s="5">
        <f>IFERROR(__xludf.DUMMYFUNCTION("""COMPUTED_VALUE"""),242.84)</f>
        <v>242.84</v>
      </c>
      <c r="F113" s="5">
        <f>IFERROR(__xludf.DUMMYFUNCTION("""COMPUTED_VALUE"""),3.6870619E7)</f>
        <v>36870619</v>
      </c>
    </row>
    <row r="114">
      <c r="A114" s="7">
        <f>IFERROR(__xludf.DUMMYFUNCTION("""COMPUTED_VALUE"""),45635.66666666667)</f>
        <v>45635.66667</v>
      </c>
      <c r="B114" s="5">
        <f>IFERROR(__xludf.DUMMYFUNCTION("""COMPUTED_VALUE"""),241.83)</f>
        <v>241.83</v>
      </c>
      <c r="C114" s="5">
        <f>IFERROR(__xludf.DUMMYFUNCTION("""COMPUTED_VALUE"""),247.24)</f>
        <v>247.24</v>
      </c>
      <c r="D114" s="5">
        <f>IFERROR(__xludf.DUMMYFUNCTION("""COMPUTED_VALUE"""),241.75)</f>
        <v>241.75</v>
      </c>
      <c r="E114" s="5">
        <f>IFERROR(__xludf.DUMMYFUNCTION("""COMPUTED_VALUE"""),246.75)</f>
        <v>246.75</v>
      </c>
      <c r="F114" s="5">
        <f>IFERROR(__xludf.DUMMYFUNCTION("""COMPUTED_VALUE"""),4.4649232E7)</f>
        <v>44649232</v>
      </c>
    </row>
    <row r="115">
      <c r="A115" s="7">
        <f>IFERROR(__xludf.DUMMYFUNCTION("""COMPUTED_VALUE"""),45636.66666666667)</f>
        <v>45636.66667</v>
      </c>
      <c r="B115" s="5">
        <f>IFERROR(__xludf.DUMMYFUNCTION("""COMPUTED_VALUE"""),246.89)</f>
        <v>246.89</v>
      </c>
      <c r="C115" s="5">
        <f>IFERROR(__xludf.DUMMYFUNCTION("""COMPUTED_VALUE"""),248.21)</f>
        <v>248.21</v>
      </c>
      <c r="D115" s="5">
        <f>IFERROR(__xludf.DUMMYFUNCTION("""COMPUTED_VALUE"""),245.34)</f>
        <v>245.34</v>
      </c>
      <c r="E115" s="5">
        <f>IFERROR(__xludf.DUMMYFUNCTION("""COMPUTED_VALUE"""),247.77)</f>
        <v>247.77</v>
      </c>
      <c r="F115" s="5">
        <f>IFERROR(__xludf.DUMMYFUNCTION("""COMPUTED_VALUE"""),3.6914806E7)</f>
        <v>36914806</v>
      </c>
    </row>
    <row r="116">
      <c r="A116" s="7">
        <f>IFERROR(__xludf.DUMMYFUNCTION("""COMPUTED_VALUE"""),45637.66666666667)</f>
        <v>45637.66667</v>
      </c>
      <c r="B116" s="5">
        <f>IFERROR(__xludf.DUMMYFUNCTION("""COMPUTED_VALUE"""),247.96)</f>
        <v>247.96</v>
      </c>
      <c r="C116" s="5">
        <f>IFERROR(__xludf.DUMMYFUNCTION("""COMPUTED_VALUE"""),250.8)</f>
        <v>250.8</v>
      </c>
      <c r="D116" s="5">
        <f>IFERROR(__xludf.DUMMYFUNCTION("""COMPUTED_VALUE"""),246.26)</f>
        <v>246.26</v>
      </c>
      <c r="E116" s="5">
        <f>IFERROR(__xludf.DUMMYFUNCTION("""COMPUTED_VALUE"""),246.49)</f>
        <v>246.49</v>
      </c>
      <c r="F116" s="5">
        <f>IFERROR(__xludf.DUMMYFUNCTION("""COMPUTED_VALUE"""),4.5205814E7)</f>
        <v>45205814</v>
      </c>
    </row>
    <row r="117">
      <c r="A117" s="7">
        <f>IFERROR(__xludf.DUMMYFUNCTION("""COMPUTED_VALUE"""),45638.66666666667)</f>
        <v>45638.66667</v>
      </c>
      <c r="B117" s="5">
        <f>IFERROR(__xludf.DUMMYFUNCTION("""COMPUTED_VALUE"""),246.89)</f>
        <v>246.89</v>
      </c>
      <c r="C117" s="5">
        <f>IFERROR(__xludf.DUMMYFUNCTION("""COMPUTED_VALUE"""),248.74)</f>
        <v>248.74</v>
      </c>
      <c r="D117" s="5">
        <f>IFERROR(__xludf.DUMMYFUNCTION("""COMPUTED_VALUE"""),245.68)</f>
        <v>245.68</v>
      </c>
      <c r="E117" s="5">
        <f>IFERROR(__xludf.DUMMYFUNCTION("""COMPUTED_VALUE"""),247.96)</f>
        <v>247.96</v>
      </c>
      <c r="F117" s="5">
        <f>IFERROR(__xludf.DUMMYFUNCTION("""COMPUTED_VALUE"""),3.2777532E7)</f>
        <v>32777532</v>
      </c>
    </row>
    <row r="118">
      <c r="A118" s="7">
        <f>IFERROR(__xludf.DUMMYFUNCTION("""COMPUTED_VALUE"""),45639.66666666667)</f>
        <v>45639.66667</v>
      </c>
      <c r="B118" s="5">
        <f>IFERROR(__xludf.DUMMYFUNCTION("""COMPUTED_VALUE"""),247.82)</f>
        <v>247.82</v>
      </c>
      <c r="C118" s="5">
        <f>IFERROR(__xludf.DUMMYFUNCTION("""COMPUTED_VALUE"""),249.29)</f>
        <v>249.29</v>
      </c>
      <c r="D118" s="5">
        <f>IFERROR(__xludf.DUMMYFUNCTION("""COMPUTED_VALUE"""),246.24)</f>
        <v>246.24</v>
      </c>
      <c r="E118" s="5">
        <f>IFERROR(__xludf.DUMMYFUNCTION("""COMPUTED_VALUE"""),248.13)</f>
        <v>248.13</v>
      </c>
      <c r="F118" s="5">
        <f>IFERROR(__xludf.DUMMYFUNCTION("""COMPUTED_VALUE"""),3.315529E7)</f>
        <v>33155290</v>
      </c>
    </row>
    <row r="119">
      <c r="A119" s="7">
        <f>IFERROR(__xludf.DUMMYFUNCTION("""COMPUTED_VALUE"""),45642.66666666667)</f>
        <v>45642.66667</v>
      </c>
      <c r="B119" s="5">
        <f>IFERROR(__xludf.DUMMYFUNCTION("""COMPUTED_VALUE"""),247.99)</f>
        <v>247.99</v>
      </c>
      <c r="C119" s="5">
        <f>IFERROR(__xludf.DUMMYFUNCTION("""COMPUTED_VALUE"""),251.38)</f>
        <v>251.38</v>
      </c>
      <c r="D119" s="5">
        <f>IFERROR(__xludf.DUMMYFUNCTION("""COMPUTED_VALUE"""),247.65)</f>
        <v>247.65</v>
      </c>
      <c r="E119" s="5">
        <f>IFERROR(__xludf.DUMMYFUNCTION("""COMPUTED_VALUE"""),251.04)</f>
        <v>251.04</v>
      </c>
      <c r="F119" s="5">
        <f>IFERROR(__xludf.DUMMYFUNCTION("""COMPUTED_VALUE"""),5.1694753E7)</f>
        <v>51694753</v>
      </c>
    </row>
    <row r="120">
      <c r="A120" s="7">
        <f>IFERROR(__xludf.DUMMYFUNCTION("""COMPUTED_VALUE"""),45643.66666666667)</f>
        <v>45643.66667</v>
      </c>
      <c r="B120" s="5">
        <f>IFERROR(__xludf.DUMMYFUNCTION("""COMPUTED_VALUE"""),250.08)</f>
        <v>250.08</v>
      </c>
      <c r="C120" s="5">
        <f>IFERROR(__xludf.DUMMYFUNCTION("""COMPUTED_VALUE"""),253.83)</f>
        <v>253.83</v>
      </c>
      <c r="D120" s="5">
        <f>IFERROR(__xludf.DUMMYFUNCTION("""COMPUTED_VALUE"""),249.78)</f>
        <v>249.78</v>
      </c>
      <c r="E120" s="5">
        <f>IFERROR(__xludf.DUMMYFUNCTION("""COMPUTED_VALUE"""),253.48)</f>
        <v>253.48</v>
      </c>
      <c r="F120" s="5">
        <f>IFERROR(__xludf.DUMMYFUNCTION("""COMPUTED_VALUE"""),5.135636E7)</f>
        <v>51356360</v>
      </c>
    </row>
    <row r="121">
      <c r="A121" s="7">
        <f>IFERROR(__xludf.DUMMYFUNCTION("""COMPUTED_VALUE"""),45644.66666666667)</f>
        <v>45644.66667</v>
      </c>
      <c r="B121" s="5">
        <f>IFERROR(__xludf.DUMMYFUNCTION("""COMPUTED_VALUE"""),252.16)</f>
        <v>252.16</v>
      </c>
      <c r="C121" s="5">
        <f>IFERROR(__xludf.DUMMYFUNCTION("""COMPUTED_VALUE"""),254.28)</f>
        <v>254.28</v>
      </c>
      <c r="D121" s="5">
        <f>IFERROR(__xludf.DUMMYFUNCTION("""COMPUTED_VALUE"""),247.74)</f>
        <v>247.74</v>
      </c>
      <c r="E121" s="5">
        <f>IFERROR(__xludf.DUMMYFUNCTION("""COMPUTED_VALUE"""),248.05)</f>
        <v>248.05</v>
      </c>
      <c r="F121" s="5">
        <f>IFERROR(__xludf.DUMMYFUNCTION("""COMPUTED_VALUE"""),5.6774101E7)</f>
        <v>56774101</v>
      </c>
    </row>
    <row r="122">
      <c r="A122" s="7">
        <f>IFERROR(__xludf.DUMMYFUNCTION("""COMPUTED_VALUE"""),45645.66666666667)</f>
        <v>45645.66667</v>
      </c>
      <c r="B122" s="5">
        <f>IFERROR(__xludf.DUMMYFUNCTION("""COMPUTED_VALUE"""),247.5)</f>
        <v>247.5</v>
      </c>
      <c r="C122" s="5">
        <f>IFERROR(__xludf.DUMMYFUNCTION("""COMPUTED_VALUE"""),252.0)</f>
        <v>252</v>
      </c>
      <c r="D122" s="5">
        <f>IFERROR(__xludf.DUMMYFUNCTION("""COMPUTED_VALUE"""),247.09)</f>
        <v>247.09</v>
      </c>
      <c r="E122" s="5">
        <f>IFERROR(__xludf.DUMMYFUNCTION("""COMPUTED_VALUE"""),249.79)</f>
        <v>249.79</v>
      </c>
      <c r="F122" s="5">
        <f>IFERROR(__xludf.DUMMYFUNCTION("""COMPUTED_VALUE"""),6.0882264E7)</f>
        <v>60882264</v>
      </c>
    </row>
    <row r="123">
      <c r="A123" s="7">
        <f>IFERROR(__xludf.DUMMYFUNCTION("""COMPUTED_VALUE"""),45646.66666666667)</f>
        <v>45646.66667</v>
      </c>
      <c r="B123" s="5">
        <f>IFERROR(__xludf.DUMMYFUNCTION("""COMPUTED_VALUE"""),248.04)</f>
        <v>248.04</v>
      </c>
      <c r="C123" s="5">
        <f>IFERROR(__xludf.DUMMYFUNCTION("""COMPUTED_VALUE"""),255.0)</f>
        <v>255</v>
      </c>
      <c r="D123" s="5">
        <f>IFERROR(__xludf.DUMMYFUNCTION("""COMPUTED_VALUE"""),245.69)</f>
        <v>245.69</v>
      </c>
      <c r="E123" s="5">
        <f>IFERROR(__xludf.DUMMYFUNCTION("""COMPUTED_VALUE"""),254.49)</f>
        <v>254.49</v>
      </c>
      <c r="F123" s="5">
        <f>IFERROR(__xludf.DUMMYFUNCTION("""COMPUTED_VALUE"""),1.47495267E8)</f>
        <v>147495267</v>
      </c>
    </row>
    <row r="124">
      <c r="A124" s="7">
        <f>IFERROR(__xludf.DUMMYFUNCTION("""COMPUTED_VALUE"""),45649.66666666667)</f>
        <v>45649.66667</v>
      </c>
      <c r="B124" s="5">
        <f>IFERROR(__xludf.DUMMYFUNCTION("""COMPUTED_VALUE"""),254.77)</f>
        <v>254.77</v>
      </c>
      <c r="C124" s="5">
        <f>IFERROR(__xludf.DUMMYFUNCTION("""COMPUTED_VALUE"""),255.65)</f>
        <v>255.65</v>
      </c>
      <c r="D124" s="5">
        <f>IFERROR(__xludf.DUMMYFUNCTION("""COMPUTED_VALUE"""),253.45)</f>
        <v>253.45</v>
      </c>
      <c r="E124" s="5">
        <f>IFERROR(__xludf.DUMMYFUNCTION("""COMPUTED_VALUE"""),255.27)</f>
        <v>255.27</v>
      </c>
      <c r="F124" s="5">
        <f>IFERROR(__xludf.DUMMYFUNCTION("""COMPUTED_VALUE"""),4.0858774E7)</f>
        <v>40858774</v>
      </c>
    </row>
    <row r="125">
      <c r="A125" s="7">
        <f>IFERROR(__xludf.DUMMYFUNCTION("""COMPUTED_VALUE"""),45650.54513888889)</f>
        <v>45650.54514</v>
      </c>
      <c r="B125" s="5">
        <f>IFERROR(__xludf.DUMMYFUNCTION("""COMPUTED_VALUE"""),255.49)</f>
        <v>255.49</v>
      </c>
      <c r="C125" s="5">
        <f>IFERROR(__xludf.DUMMYFUNCTION("""COMPUTED_VALUE"""),258.21)</f>
        <v>258.21</v>
      </c>
      <c r="D125" s="5">
        <f>IFERROR(__xludf.DUMMYFUNCTION("""COMPUTED_VALUE"""),255.29)</f>
        <v>255.29</v>
      </c>
      <c r="E125" s="5">
        <f>IFERROR(__xludf.DUMMYFUNCTION("""COMPUTED_VALUE"""),258.2)</f>
        <v>258.2</v>
      </c>
      <c r="F125" s="5">
        <f>IFERROR(__xludf.DUMMYFUNCTION("""COMPUTED_VALUE"""),2.3234705E7)</f>
        <v>23234705</v>
      </c>
    </row>
    <row r="126">
      <c r="A126" s="7">
        <f>IFERROR(__xludf.DUMMYFUNCTION("""COMPUTED_VALUE"""),45652.66666666667)</f>
        <v>45652.66667</v>
      </c>
      <c r="B126" s="5">
        <f>IFERROR(__xludf.DUMMYFUNCTION("""COMPUTED_VALUE"""),258.19)</f>
        <v>258.19</v>
      </c>
      <c r="C126" s="5">
        <f>IFERROR(__xludf.DUMMYFUNCTION("""COMPUTED_VALUE"""),260.1)</f>
        <v>260.1</v>
      </c>
      <c r="D126" s="5">
        <f>IFERROR(__xludf.DUMMYFUNCTION("""COMPUTED_VALUE"""),257.63)</f>
        <v>257.63</v>
      </c>
      <c r="E126" s="5">
        <f>IFERROR(__xludf.DUMMYFUNCTION("""COMPUTED_VALUE"""),259.02)</f>
        <v>259.02</v>
      </c>
      <c r="F126" s="5">
        <f>IFERROR(__xludf.DUMMYFUNCTION("""COMPUTED_VALUE"""),2.7262983E7)</f>
        <v>27262983</v>
      </c>
    </row>
    <row r="127">
      <c r="A127" s="7">
        <f>IFERROR(__xludf.DUMMYFUNCTION("""COMPUTED_VALUE"""),45653.66666666667)</f>
        <v>45653.66667</v>
      </c>
      <c r="B127" s="5">
        <f>IFERROR(__xludf.DUMMYFUNCTION("""COMPUTED_VALUE"""),257.83)</f>
        <v>257.83</v>
      </c>
      <c r="C127" s="5">
        <f>IFERROR(__xludf.DUMMYFUNCTION("""COMPUTED_VALUE"""),258.7)</f>
        <v>258.7</v>
      </c>
      <c r="D127" s="5">
        <f>IFERROR(__xludf.DUMMYFUNCTION("""COMPUTED_VALUE"""),253.06)</f>
        <v>253.06</v>
      </c>
      <c r="E127" s="5">
        <f>IFERROR(__xludf.DUMMYFUNCTION("""COMPUTED_VALUE"""),255.59)</f>
        <v>255.59</v>
      </c>
      <c r="F127" s="5">
        <f>IFERROR(__xludf.DUMMYFUNCTION("""COMPUTED_VALUE"""),4.2355321E7)</f>
        <v>42355321</v>
      </c>
    </row>
    <row r="128">
      <c r="A128" s="7">
        <f>IFERROR(__xludf.DUMMYFUNCTION("""COMPUTED_VALUE"""),45656.66666666667)</f>
        <v>45656.66667</v>
      </c>
      <c r="B128" s="5">
        <f>IFERROR(__xludf.DUMMYFUNCTION("""COMPUTED_VALUE"""),252.23)</f>
        <v>252.23</v>
      </c>
      <c r="C128" s="5">
        <f>IFERROR(__xludf.DUMMYFUNCTION("""COMPUTED_VALUE"""),253.5)</f>
        <v>253.5</v>
      </c>
      <c r="D128" s="5">
        <f>IFERROR(__xludf.DUMMYFUNCTION("""COMPUTED_VALUE"""),250.75)</f>
        <v>250.75</v>
      </c>
      <c r="E128" s="5">
        <f>IFERROR(__xludf.DUMMYFUNCTION("""COMPUTED_VALUE"""),252.2)</f>
        <v>252.2</v>
      </c>
      <c r="F128" s="5">
        <f>IFERROR(__xludf.DUMMYFUNCTION("""COMPUTED_VALUE"""),3.5557542E7)</f>
        <v>35557542</v>
      </c>
    </row>
    <row r="129">
      <c r="A129" s="7">
        <f>IFERROR(__xludf.DUMMYFUNCTION("""COMPUTED_VALUE"""),45657.66666666667)</f>
        <v>45657.66667</v>
      </c>
      <c r="B129" s="5">
        <f>IFERROR(__xludf.DUMMYFUNCTION("""COMPUTED_VALUE"""),252.44)</f>
        <v>252.44</v>
      </c>
      <c r="C129" s="5">
        <f>IFERROR(__xludf.DUMMYFUNCTION("""COMPUTED_VALUE"""),253.28)</f>
        <v>253.28</v>
      </c>
      <c r="D129" s="5">
        <f>IFERROR(__xludf.DUMMYFUNCTION("""COMPUTED_VALUE"""),249.43)</f>
        <v>249.43</v>
      </c>
      <c r="E129" s="5">
        <f>IFERROR(__xludf.DUMMYFUNCTION("""COMPUTED_VALUE"""),250.42)</f>
        <v>250.42</v>
      </c>
      <c r="F129" s="5">
        <f>IFERROR(__xludf.DUMMYFUNCTION("""COMPUTED_VALUE"""),3.9480718E7)</f>
        <v>39480718</v>
      </c>
    </row>
    <row r="130">
      <c r="A130" s="7">
        <f>IFERROR(__xludf.DUMMYFUNCTION("""COMPUTED_VALUE"""),45659.66666666667)</f>
        <v>45659.66667</v>
      </c>
      <c r="B130" s="5">
        <f>IFERROR(__xludf.DUMMYFUNCTION("""COMPUTED_VALUE"""),248.93)</f>
        <v>248.93</v>
      </c>
      <c r="C130" s="5">
        <f>IFERROR(__xludf.DUMMYFUNCTION("""COMPUTED_VALUE"""),249.1)</f>
        <v>249.1</v>
      </c>
      <c r="D130" s="5">
        <f>IFERROR(__xludf.DUMMYFUNCTION("""COMPUTED_VALUE"""),241.82)</f>
        <v>241.82</v>
      </c>
      <c r="E130" s="5">
        <f>IFERROR(__xludf.DUMMYFUNCTION("""COMPUTED_VALUE"""),243.85)</f>
        <v>243.85</v>
      </c>
      <c r="F130" s="5">
        <f>IFERROR(__xludf.DUMMYFUNCTION("""COMPUTED_VALUE"""),5.5740731E7)</f>
        <v>55740731</v>
      </c>
    </row>
    <row r="131">
      <c r="A131" s="7">
        <f>IFERROR(__xludf.DUMMYFUNCTION("""COMPUTED_VALUE"""),45660.66666666667)</f>
        <v>45660.66667</v>
      </c>
      <c r="B131" s="5">
        <f>IFERROR(__xludf.DUMMYFUNCTION("""COMPUTED_VALUE"""),243.36)</f>
        <v>243.36</v>
      </c>
      <c r="C131" s="5">
        <f>IFERROR(__xludf.DUMMYFUNCTION("""COMPUTED_VALUE"""),244.18)</f>
        <v>244.18</v>
      </c>
      <c r="D131" s="5">
        <f>IFERROR(__xludf.DUMMYFUNCTION("""COMPUTED_VALUE"""),241.89)</f>
        <v>241.89</v>
      </c>
      <c r="E131" s="5">
        <f>IFERROR(__xludf.DUMMYFUNCTION("""COMPUTED_VALUE"""),243.36)</f>
        <v>243.36</v>
      </c>
      <c r="F131" s="5">
        <f>IFERROR(__xludf.DUMMYFUNCTION("""COMPUTED_VALUE"""),4.0244114E7)</f>
        <v>40244114</v>
      </c>
    </row>
    <row r="132">
      <c r="A132" s="7">
        <f>IFERROR(__xludf.DUMMYFUNCTION("""COMPUTED_VALUE"""),45663.66666666667)</f>
        <v>45663.66667</v>
      </c>
      <c r="B132" s="5">
        <f>IFERROR(__xludf.DUMMYFUNCTION("""COMPUTED_VALUE"""),244.31)</f>
        <v>244.31</v>
      </c>
      <c r="C132" s="5">
        <f>IFERROR(__xludf.DUMMYFUNCTION("""COMPUTED_VALUE"""),247.33)</f>
        <v>247.33</v>
      </c>
      <c r="D132" s="5">
        <f>IFERROR(__xludf.DUMMYFUNCTION("""COMPUTED_VALUE"""),243.2)</f>
        <v>243.2</v>
      </c>
      <c r="E132" s="5">
        <f>IFERROR(__xludf.DUMMYFUNCTION("""COMPUTED_VALUE"""),245.0)</f>
        <v>245</v>
      </c>
      <c r="F132" s="5">
        <f>IFERROR(__xludf.DUMMYFUNCTION("""COMPUTED_VALUE"""),4.5045571E7)</f>
        <v>45045571</v>
      </c>
    </row>
    <row r="133">
      <c r="A133" s="7">
        <f>IFERROR(__xludf.DUMMYFUNCTION("""COMPUTED_VALUE"""),45664.66666666667)</f>
        <v>45664.66667</v>
      </c>
      <c r="B133" s="5">
        <f>IFERROR(__xludf.DUMMYFUNCTION("""COMPUTED_VALUE"""),242.98)</f>
        <v>242.98</v>
      </c>
      <c r="C133" s="5">
        <f>IFERROR(__xludf.DUMMYFUNCTION("""COMPUTED_VALUE"""),245.55)</f>
        <v>245.55</v>
      </c>
      <c r="D133" s="5">
        <f>IFERROR(__xludf.DUMMYFUNCTION("""COMPUTED_VALUE"""),241.35)</f>
        <v>241.35</v>
      </c>
      <c r="E133" s="5">
        <f>IFERROR(__xludf.DUMMYFUNCTION("""COMPUTED_VALUE"""),242.21)</f>
        <v>242.21</v>
      </c>
      <c r="F133" s="5">
        <f>IFERROR(__xludf.DUMMYFUNCTION("""COMPUTED_VALUE"""),4.085596E7)</f>
        <v>40855960</v>
      </c>
    </row>
    <row r="134">
      <c r="A134" s="7">
        <f>IFERROR(__xludf.DUMMYFUNCTION("""COMPUTED_VALUE"""),45665.66666666667)</f>
        <v>45665.66667</v>
      </c>
      <c r="B134" s="5">
        <f>IFERROR(__xludf.DUMMYFUNCTION("""COMPUTED_VALUE"""),241.92)</f>
        <v>241.92</v>
      </c>
      <c r="C134" s="5">
        <f>IFERROR(__xludf.DUMMYFUNCTION("""COMPUTED_VALUE"""),243.71)</f>
        <v>243.71</v>
      </c>
      <c r="D134" s="5">
        <f>IFERROR(__xludf.DUMMYFUNCTION("""COMPUTED_VALUE"""),240.05)</f>
        <v>240.05</v>
      </c>
      <c r="E134" s="5">
        <f>IFERROR(__xludf.DUMMYFUNCTION("""COMPUTED_VALUE"""),242.7)</f>
        <v>242.7</v>
      </c>
      <c r="F134" s="5">
        <f>IFERROR(__xludf.DUMMYFUNCTION("""COMPUTED_VALUE"""),3.762894E7)</f>
        <v>37628940</v>
      </c>
    </row>
    <row r="135">
      <c r="A135" s="7">
        <f>IFERROR(__xludf.DUMMYFUNCTION("""COMPUTED_VALUE"""),45667.66666666667)</f>
        <v>45667.66667</v>
      </c>
      <c r="B135" s="5">
        <f>IFERROR(__xludf.DUMMYFUNCTION("""COMPUTED_VALUE"""),240.01)</f>
        <v>240.01</v>
      </c>
      <c r="C135" s="5">
        <f>IFERROR(__xludf.DUMMYFUNCTION("""COMPUTED_VALUE"""),240.16)</f>
        <v>240.16</v>
      </c>
      <c r="D135" s="5">
        <f>IFERROR(__xludf.DUMMYFUNCTION("""COMPUTED_VALUE"""),233.0)</f>
        <v>233</v>
      </c>
      <c r="E135" s="5">
        <f>IFERROR(__xludf.DUMMYFUNCTION("""COMPUTED_VALUE"""),236.85)</f>
        <v>236.85</v>
      </c>
      <c r="F135" s="5">
        <f>IFERROR(__xludf.DUMMYFUNCTION("""COMPUTED_VALUE"""),6.1710856E7)</f>
        <v>61710856</v>
      </c>
    </row>
    <row r="136">
      <c r="A136" s="7">
        <f>IFERROR(__xludf.DUMMYFUNCTION("""COMPUTED_VALUE"""),45670.66666666667)</f>
        <v>45670.66667</v>
      </c>
      <c r="B136" s="5">
        <f>IFERROR(__xludf.DUMMYFUNCTION("""COMPUTED_VALUE"""),233.53)</f>
        <v>233.53</v>
      </c>
      <c r="C136" s="5">
        <f>IFERROR(__xludf.DUMMYFUNCTION("""COMPUTED_VALUE"""),234.67)</f>
        <v>234.67</v>
      </c>
      <c r="D136" s="5">
        <f>IFERROR(__xludf.DUMMYFUNCTION("""COMPUTED_VALUE"""),229.72)</f>
        <v>229.72</v>
      </c>
      <c r="E136" s="5">
        <f>IFERROR(__xludf.DUMMYFUNCTION("""COMPUTED_VALUE"""),234.4)</f>
        <v>234.4</v>
      </c>
      <c r="F136" s="5">
        <f>IFERROR(__xludf.DUMMYFUNCTION("""COMPUTED_VALUE"""),4.9630725E7)</f>
        <v>49630725</v>
      </c>
    </row>
    <row r="137">
      <c r="A137" s="7">
        <f>IFERROR(__xludf.DUMMYFUNCTION("""COMPUTED_VALUE"""),45671.66666666667)</f>
        <v>45671.66667</v>
      </c>
      <c r="B137" s="5">
        <f>IFERROR(__xludf.DUMMYFUNCTION("""COMPUTED_VALUE"""),234.75)</f>
        <v>234.75</v>
      </c>
      <c r="C137" s="5">
        <f>IFERROR(__xludf.DUMMYFUNCTION("""COMPUTED_VALUE"""),236.12)</f>
        <v>236.12</v>
      </c>
      <c r="D137" s="5">
        <f>IFERROR(__xludf.DUMMYFUNCTION("""COMPUTED_VALUE"""),232.47)</f>
        <v>232.47</v>
      </c>
      <c r="E137" s="5">
        <f>IFERROR(__xludf.DUMMYFUNCTION("""COMPUTED_VALUE"""),233.28)</f>
        <v>233.28</v>
      </c>
      <c r="F137" s="5">
        <f>IFERROR(__xludf.DUMMYFUNCTION("""COMPUTED_VALUE"""),3.9435294E7)</f>
        <v>39435294</v>
      </c>
    </row>
    <row r="138">
      <c r="A138" s="7">
        <f>IFERROR(__xludf.DUMMYFUNCTION("""COMPUTED_VALUE"""),45672.66666666667)</f>
        <v>45672.66667</v>
      </c>
      <c r="B138" s="5">
        <f>IFERROR(__xludf.DUMMYFUNCTION("""COMPUTED_VALUE"""),234.64)</f>
        <v>234.64</v>
      </c>
      <c r="C138" s="5">
        <f>IFERROR(__xludf.DUMMYFUNCTION("""COMPUTED_VALUE"""),238.96)</f>
        <v>238.96</v>
      </c>
      <c r="D138" s="5">
        <f>IFERROR(__xludf.DUMMYFUNCTION("""COMPUTED_VALUE"""),234.43)</f>
        <v>234.43</v>
      </c>
      <c r="E138" s="5">
        <f>IFERROR(__xludf.DUMMYFUNCTION("""COMPUTED_VALUE"""),237.87)</f>
        <v>237.87</v>
      </c>
      <c r="F138" s="5">
        <f>IFERROR(__xludf.DUMMYFUNCTION("""COMPUTED_VALUE"""),3.9831969E7)</f>
        <v>39831969</v>
      </c>
    </row>
    <row r="139">
      <c r="A139" s="7">
        <f>IFERROR(__xludf.DUMMYFUNCTION("""COMPUTED_VALUE"""),45673.66666666667)</f>
        <v>45673.66667</v>
      </c>
      <c r="B139" s="5">
        <f>IFERROR(__xludf.DUMMYFUNCTION("""COMPUTED_VALUE"""),237.35)</f>
        <v>237.35</v>
      </c>
      <c r="C139" s="5">
        <f>IFERROR(__xludf.DUMMYFUNCTION("""COMPUTED_VALUE"""),238.01)</f>
        <v>238.01</v>
      </c>
      <c r="D139" s="5">
        <f>IFERROR(__xludf.DUMMYFUNCTION("""COMPUTED_VALUE"""),228.03)</f>
        <v>228.03</v>
      </c>
      <c r="E139" s="5">
        <f>IFERROR(__xludf.DUMMYFUNCTION("""COMPUTED_VALUE"""),228.26)</f>
        <v>228.26</v>
      </c>
      <c r="F139" s="5">
        <f>IFERROR(__xludf.DUMMYFUNCTION("""COMPUTED_VALUE"""),7.1759052E7)</f>
        <v>71759052</v>
      </c>
    </row>
    <row r="140">
      <c r="A140" s="7">
        <f>IFERROR(__xludf.DUMMYFUNCTION("""COMPUTED_VALUE"""),45674.66666666667)</f>
        <v>45674.66667</v>
      </c>
      <c r="B140" s="5">
        <f>IFERROR(__xludf.DUMMYFUNCTION("""COMPUTED_VALUE"""),232.12)</f>
        <v>232.12</v>
      </c>
      <c r="C140" s="5">
        <f>IFERROR(__xludf.DUMMYFUNCTION("""COMPUTED_VALUE"""),232.29)</f>
        <v>232.29</v>
      </c>
      <c r="D140" s="5">
        <f>IFERROR(__xludf.DUMMYFUNCTION("""COMPUTED_VALUE"""),228.48)</f>
        <v>228.48</v>
      </c>
      <c r="E140" s="5">
        <f>IFERROR(__xludf.DUMMYFUNCTION("""COMPUTED_VALUE"""),229.98)</f>
        <v>229.98</v>
      </c>
      <c r="F140" s="5">
        <f>IFERROR(__xludf.DUMMYFUNCTION("""COMPUTED_VALUE"""),6.8488301E7)</f>
        <v>68488301</v>
      </c>
    </row>
    <row r="141">
      <c r="A141" s="7">
        <f>IFERROR(__xludf.DUMMYFUNCTION("""COMPUTED_VALUE"""),45678.66666666667)</f>
        <v>45678.66667</v>
      </c>
      <c r="B141" s="5">
        <f>IFERROR(__xludf.DUMMYFUNCTION("""COMPUTED_VALUE"""),224.0)</f>
        <v>224</v>
      </c>
      <c r="C141" s="5">
        <f>IFERROR(__xludf.DUMMYFUNCTION("""COMPUTED_VALUE"""),224.42)</f>
        <v>224.42</v>
      </c>
      <c r="D141" s="5">
        <f>IFERROR(__xludf.DUMMYFUNCTION("""COMPUTED_VALUE"""),219.38)</f>
        <v>219.38</v>
      </c>
      <c r="E141" s="5">
        <f>IFERROR(__xludf.DUMMYFUNCTION("""COMPUTED_VALUE"""),222.64)</f>
        <v>222.64</v>
      </c>
      <c r="F141" s="5">
        <f>IFERROR(__xludf.DUMMYFUNCTION("""COMPUTED_VALUE"""),9.8070429E7)</f>
        <v>98070429</v>
      </c>
    </row>
    <row r="142">
      <c r="A142" s="7">
        <f>IFERROR(__xludf.DUMMYFUNCTION("""COMPUTED_VALUE"""),45679.66666666667)</f>
        <v>45679.66667</v>
      </c>
      <c r="B142" s="5">
        <f>IFERROR(__xludf.DUMMYFUNCTION("""COMPUTED_VALUE"""),219.79)</f>
        <v>219.79</v>
      </c>
      <c r="C142" s="5">
        <f>IFERROR(__xludf.DUMMYFUNCTION("""COMPUTED_VALUE"""),224.12)</f>
        <v>224.12</v>
      </c>
      <c r="D142" s="5">
        <f>IFERROR(__xludf.DUMMYFUNCTION("""COMPUTED_VALUE"""),219.79)</f>
        <v>219.79</v>
      </c>
      <c r="E142" s="5">
        <f>IFERROR(__xludf.DUMMYFUNCTION("""COMPUTED_VALUE"""),223.83)</f>
        <v>223.83</v>
      </c>
      <c r="F142" s="5">
        <f>IFERROR(__xludf.DUMMYFUNCTION("""COMPUTED_VALUE"""),6.41265E7)</f>
        <v>64126500</v>
      </c>
    </row>
    <row r="143">
      <c r="A143" s="7">
        <f>IFERROR(__xludf.DUMMYFUNCTION("""COMPUTED_VALUE"""),45680.66666666667)</f>
        <v>45680.66667</v>
      </c>
      <c r="B143" s="5">
        <f>IFERROR(__xludf.DUMMYFUNCTION("""COMPUTED_VALUE"""),224.74)</f>
        <v>224.74</v>
      </c>
      <c r="C143" s="5">
        <f>IFERROR(__xludf.DUMMYFUNCTION("""COMPUTED_VALUE"""),227.03)</f>
        <v>227.03</v>
      </c>
      <c r="D143" s="5">
        <f>IFERROR(__xludf.DUMMYFUNCTION("""COMPUTED_VALUE"""),222.3)</f>
        <v>222.3</v>
      </c>
      <c r="E143" s="5">
        <f>IFERROR(__xludf.DUMMYFUNCTION("""COMPUTED_VALUE"""),223.66)</f>
        <v>223.66</v>
      </c>
      <c r="F143" s="5">
        <f>IFERROR(__xludf.DUMMYFUNCTION("""COMPUTED_VALUE"""),6.023476E7)</f>
        <v>60234760</v>
      </c>
    </row>
    <row r="144">
      <c r="A144" s="7">
        <f>IFERROR(__xludf.DUMMYFUNCTION("""COMPUTED_VALUE"""),45681.66666666667)</f>
        <v>45681.66667</v>
      </c>
      <c r="B144" s="5">
        <f>IFERROR(__xludf.DUMMYFUNCTION("""COMPUTED_VALUE"""),224.78)</f>
        <v>224.78</v>
      </c>
      <c r="C144" s="5">
        <f>IFERROR(__xludf.DUMMYFUNCTION("""COMPUTED_VALUE"""),225.63)</f>
        <v>225.63</v>
      </c>
      <c r="D144" s="5">
        <f>IFERROR(__xludf.DUMMYFUNCTION("""COMPUTED_VALUE"""),221.41)</f>
        <v>221.41</v>
      </c>
      <c r="E144" s="5">
        <f>IFERROR(__xludf.DUMMYFUNCTION("""COMPUTED_VALUE"""),222.78)</f>
        <v>222.78</v>
      </c>
      <c r="F144" s="5">
        <f>IFERROR(__xludf.DUMMYFUNCTION("""COMPUTED_VALUE"""),5.4697907E7)</f>
        <v>54697907</v>
      </c>
    </row>
    <row r="145">
      <c r="A145" s="7">
        <f>IFERROR(__xludf.DUMMYFUNCTION("""COMPUTED_VALUE"""),45684.66666666667)</f>
        <v>45684.66667</v>
      </c>
      <c r="B145" s="5">
        <f>IFERROR(__xludf.DUMMYFUNCTION("""COMPUTED_VALUE"""),224.02)</f>
        <v>224.02</v>
      </c>
      <c r="C145" s="5">
        <f>IFERROR(__xludf.DUMMYFUNCTION("""COMPUTED_VALUE"""),232.15)</f>
        <v>232.15</v>
      </c>
      <c r="D145" s="5">
        <f>IFERROR(__xludf.DUMMYFUNCTION("""COMPUTED_VALUE"""),223.98)</f>
        <v>223.98</v>
      </c>
      <c r="E145" s="5">
        <f>IFERROR(__xludf.DUMMYFUNCTION("""COMPUTED_VALUE"""),229.86)</f>
        <v>229.86</v>
      </c>
      <c r="F145" s="5">
        <f>IFERROR(__xludf.DUMMYFUNCTION("""COMPUTED_VALUE"""),9.4863418E7)</f>
        <v>94863418</v>
      </c>
    </row>
    <row r="146">
      <c r="A146" s="7">
        <f>IFERROR(__xludf.DUMMYFUNCTION("""COMPUTED_VALUE"""),45685.66666666667)</f>
        <v>45685.66667</v>
      </c>
      <c r="B146" s="5">
        <f>IFERROR(__xludf.DUMMYFUNCTION("""COMPUTED_VALUE"""),230.85)</f>
        <v>230.85</v>
      </c>
      <c r="C146" s="5">
        <f>IFERROR(__xludf.DUMMYFUNCTION("""COMPUTED_VALUE"""),240.19)</f>
        <v>240.19</v>
      </c>
      <c r="D146" s="5">
        <f>IFERROR(__xludf.DUMMYFUNCTION("""COMPUTED_VALUE"""),230.81)</f>
        <v>230.81</v>
      </c>
      <c r="E146" s="5">
        <f>IFERROR(__xludf.DUMMYFUNCTION("""COMPUTED_VALUE"""),238.26)</f>
        <v>238.26</v>
      </c>
      <c r="F146" s="5">
        <f>IFERROR(__xludf.DUMMYFUNCTION("""COMPUTED_VALUE"""),7.5707569E7)</f>
        <v>75707569</v>
      </c>
    </row>
    <row r="147">
      <c r="A147" s="7">
        <f>IFERROR(__xludf.DUMMYFUNCTION("""COMPUTED_VALUE"""),45686.66666666667)</f>
        <v>45686.66667</v>
      </c>
      <c r="B147" s="5">
        <f>IFERROR(__xludf.DUMMYFUNCTION("""COMPUTED_VALUE"""),234.12)</f>
        <v>234.12</v>
      </c>
      <c r="C147" s="5">
        <f>IFERROR(__xludf.DUMMYFUNCTION("""COMPUTED_VALUE"""),239.86)</f>
        <v>239.86</v>
      </c>
      <c r="D147" s="5">
        <f>IFERROR(__xludf.DUMMYFUNCTION("""COMPUTED_VALUE"""),234.01)</f>
        <v>234.01</v>
      </c>
      <c r="E147" s="5">
        <f>IFERROR(__xludf.DUMMYFUNCTION("""COMPUTED_VALUE"""),239.36)</f>
        <v>239.36</v>
      </c>
      <c r="F147" s="5">
        <f>IFERROR(__xludf.DUMMYFUNCTION("""COMPUTED_VALUE"""),4.54861E7)</f>
        <v>45486100</v>
      </c>
    </row>
    <row r="148">
      <c r="A148" s="7">
        <f>IFERROR(__xludf.DUMMYFUNCTION("""COMPUTED_VALUE"""),45687.66666666667)</f>
        <v>45687.66667</v>
      </c>
      <c r="B148" s="5">
        <f>IFERROR(__xludf.DUMMYFUNCTION("""COMPUTED_VALUE"""),238.67)</f>
        <v>238.67</v>
      </c>
      <c r="C148" s="5">
        <f>IFERROR(__xludf.DUMMYFUNCTION("""COMPUTED_VALUE"""),240.79)</f>
        <v>240.79</v>
      </c>
      <c r="D148" s="5">
        <f>IFERROR(__xludf.DUMMYFUNCTION("""COMPUTED_VALUE"""),237.21)</f>
        <v>237.21</v>
      </c>
      <c r="E148" s="5">
        <f>IFERROR(__xludf.DUMMYFUNCTION("""COMPUTED_VALUE"""),237.59)</f>
        <v>237.59</v>
      </c>
      <c r="F148" s="5">
        <f>IFERROR(__xludf.DUMMYFUNCTION("""COMPUTED_VALUE"""),5.5658279E7)</f>
        <v>55658279</v>
      </c>
    </row>
    <row r="149">
      <c r="A149" s="7">
        <f>IFERROR(__xludf.DUMMYFUNCTION("""COMPUTED_VALUE"""),45688.66666666667)</f>
        <v>45688.66667</v>
      </c>
      <c r="B149" s="5">
        <f>IFERROR(__xludf.DUMMYFUNCTION("""COMPUTED_VALUE"""),247.19)</f>
        <v>247.19</v>
      </c>
      <c r="C149" s="5">
        <f>IFERROR(__xludf.DUMMYFUNCTION("""COMPUTED_VALUE"""),247.19)</f>
        <v>247.19</v>
      </c>
      <c r="D149" s="5">
        <f>IFERROR(__xludf.DUMMYFUNCTION("""COMPUTED_VALUE"""),233.44)</f>
        <v>233.44</v>
      </c>
      <c r="E149" s="5">
        <f>IFERROR(__xludf.DUMMYFUNCTION("""COMPUTED_VALUE"""),236.0)</f>
        <v>236</v>
      </c>
      <c r="F149" s="5">
        <f>IFERROR(__xludf.DUMMYFUNCTION("""COMPUTED_VALUE"""),1.01075128E8)</f>
        <v>101075128</v>
      </c>
    </row>
    <row r="150">
      <c r="A150" s="7">
        <f>IFERROR(__xludf.DUMMYFUNCTION("""COMPUTED_VALUE"""),45691.66666666667)</f>
        <v>45691.66667</v>
      </c>
      <c r="B150" s="5">
        <f>IFERROR(__xludf.DUMMYFUNCTION("""COMPUTED_VALUE"""),229.99)</f>
        <v>229.99</v>
      </c>
      <c r="C150" s="5">
        <f>IFERROR(__xludf.DUMMYFUNCTION("""COMPUTED_VALUE"""),231.83)</f>
        <v>231.83</v>
      </c>
      <c r="D150" s="5">
        <f>IFERROR(__xludf.DUMMYFUNCTION("""COMPUTED_VALUE"""),225.7)</f>
        <v>225.7</v>
      </c>
      <c r="E150" s="5">
        <f>IFERROR(__xludf.DUMMYFUNCTION("""COMPUTED_VALUE"""),228.01)</f>
        <v>228.01</v>
      </c>
      <c r="F150" s="5">
        <f>IFERROR(__xludf.DUMMYFUNCTION("""COMPUTED_VALUE"""),7.3063301E7)</f>
        <v>73063301</v>
      </c>
    </row>
    <row r="151">
      <c r="A151" s="7">
        <f>IFERROR(__xludf.DUMMYFUNCTION("""COMPUTED_VALUE"""),45692.66666666667)</f>
        <v>45692.66667</v>
      </c>
      <c r="B151" s="5">
        <f>IFERROR(__xludf.DUMMYFUNCTION("""COMPUTED_VALUE"""),227.25)</f>
        <v>227.25</v>
      </c>
      <c r="C151" s="5">
        <f>IFERROR(__xludf.DUMMYFUNCTION("""COMPUTED_VALUE"""),233.13)</f>
        <v>233.13</v>
      </c>
      <c r="D151" s="5">
        <f>IFERROR(__xludf.DUMMYFUNCTION("""COMPUTED_VALUE"""),226.65)</f>
        <v>226.65</v>
      </c>
      <c r="E151" s="5">
        <f>IFERROR(__xludf.DUMMYFUNCTION("""COMPUTED_VALUE"""),232.8)</f>
        <v>232.8</v>
      </c>
      <c r="F151" s="5">
        <f>IFERROR(__xludf.DUMMYFUNCTION("""COMPUTED_VALUE"""),4.5067301E7)</f>
        <v>45067301</v>
      </c>
    </row>
    <row r="152">
      <c r="A152" s="7">
        <f>IFERROR(__xludf.DUMMYFUNCTION("""COMPUTED_VALUE"""),45693.66666666667)</f>
        <v>45693.66667</v>
      </c>
      <c r="B152" s="5">
        <f>IFERROR(__xludf.DUMMYFUNCTION("""COMPUTED_VALUE"""),228.53)</f>
        <v>228.53</v>
      </c>
      <c r="C152" s="5">
        <f>IFERROR(__xludf.DUMMYFUNCTION("""COMPUTED_VALUE"""),232.67)</f>
        <v>232.67</v>
      </c>
      <c r="D152" s="5">
        <f>IFERROR(__xludf.DUMMYFUNCTION("""COMPUTED_VALUE"""),228.27)</f>
        <v>228.27</v>
      </c>
      <c r="E152" s="5">
        <f>IFERROR(__xludf.DUMMYFUNCTION("""COMPUTED_VALUE"""),232.47)</f>
        <v>232.47</v>
      </c>
      <c r="F152" s="5">
        <f>IFERROR(__xludf.DUMMYFUNCTION("""COMPUTED_VALUE"""),3.9664989E7)</f>
        <v>39664989</v>
      </c>
    </row>
    <row r="153">
      <c r="A153" s="7">
        <f>IFERROR(__xludf.DUMMYFUNCTION("""COMPUTED_VALUE"""),45694.66666666667)</f>
        <v>45694.66667</v>
      </c>
      <c r="B153" s="5">
        <f>IFERROR(__xludf.DUMMYFUNCTION("""COMPUTED_VALUE"""),231.29)</f>
        <v>231.29</v>
      </c>
      <c r="C153" s="5">
        <f>IFERROR(__xludf.DUMMYFUNCTION("""COMPUTED_VALUE"""),233.8)</f>
        <v>233.8</v>
      </c>
      <c r="D153" s="5">
        <f>IFERROR(__xludf.DUMMYFUNCTION("""COMPUTED_VALUE"""),230.43)</f>
        <v>230.43</v>
      </c>
      <c r="E153" s="5">
        <f>IFERROR(__xludf.DUMMYFUNCTION("""COMPUTED_VALUE"""),233.22)</f>
        <v>233.22</v>
      </c>
      <c r="F153" s="5">
        <f>IFERROR(__xludf.DUMMYFUNCTION("""COMPUTED_VALUE"""),2.9925349E7)</f>
        <v>29925349</v>
      </c>
    </row>
    <row r="154">
      <c r="A154" s="7">
        <f>IFERROR(__xludf.DUMMYFUNCTION("""COMPUTED_VALUE"""),45695.66666666667)</f>
        <v>45695.66667</v>
      </c>
      <c r="B154" s="5">
        <f>IFERROR(__xludf.DUMMYFUNCTION("""COMPUTED_VALUE"""),232.6)</f>
        <v>232.6</v>
      </c>
      <c r="C154" s="5">
        <f>IFERROR(__xludf.DUMMYFUNCTION("""COMPUTED_VALUE"""),234.0)</f>
        <v>234</v>
      </c>
      <c r="D154" s="5">
        <f>IFERROR(__xludf.DUMMYFUNCTION("""COMPUTED_VALUE"""),227.26)</f>
        <v>227.26</v>
      </c>
      <c r="E154" s="5">
        <f>IFERROR(__xludf.DUMMYFUNCTION("""COMPUTED_VALUE"""),227.63)</f>
        <v>227.63</v>
      </c>
      <c r="F154" s="5">
        <f>IFERROR(__xludf.DUMMYFUNCTION("""COMPUTED_VALUE"""),3.9707224E7)</f>
        <v>39707224</v>
      </c>
    </row>
    <row r="155">
      <c r="A155" s="7">
        <f>IFERROR(__xludf.DUMMYFUNCTION("""COMPUTED_VALUE"""),45698.66666666667)</f>
        <v>45698.66667</v>
      </c>
      <c r="B155" s="5">
        <f>IFERROR(__xludf.DUMMYFUNCTION("""COMPUTED_VALUE"""),229.57)</f>
        <v>229.57</v>
      </c>
      <c r="C155" s="5">
        <f>IFERROR(__xludf.DUMMYFUNCTION("""COMPUTED_VALUE"""),230.59)</f>
        <v>230.59</v>
      </c>
      <c r="D155" s="5">
        <f>IFERROR(__xludf.DUMMYFUNCTION("""COMPUTED_VALUE"""),227.2)</f>
        <v>227.2</v>
      </c>
      <c r="E155" s="5">
        <f>IFERROR(__xludf.DUMMYFUNCTION("""COMPUTED_VALUE"""),227.65)</f>
        <v>227.65</v>
      </c>
      <c r="F155" s="5">
        <f>IFERROR(__xludf.DUMMYFUNCTION("""COMPUTED_VALUE"""),3.3115645E7)</f>
        <v>33115645</v>
      </c>
    </row>
    <row r="156">
      <c r="A156" s="7">
        <f>IFERROR(__xludf.DUMMYFUNCTION("""COMPUTED_VALUE"""),45699.66666666667)</f>
        <v>45699.66667</v>
      </c>
      <c r="B156" s="5">
        <f>IFERROR(__xludf.DUMMYFUNCTION("""COMPUTED_VALUE"""),228.2)</f>
        <v>228.2</v>
      </c>
      <c r="C156" s="5">
        <f>IFERROR(__xludf.DUMMYFUNCTION("""COMPUTED_VALUE"""),235.23)</f>
        <v>235.23</v>
      </c>
      <c r="D156" s="5">
        <f>IFERROR(__xludf.DUMMYFUNCTION("""COMPUTED_VALUE"""),228.13)</f>
        <v>228.13</v>
      </c>
      <c r="E156" s="5">
        <f>IFERROR(__xludf.DUMMYFUNCTION("""COMPUTED_VALUE"""),232.62)</f>
        <v>232.62</v>
      </c>
      <c r="F156" s="5">
        <f>IFERROR(__xludf.DUMMYFUNCTION("""COMPUTED_VALUE"""),5.3718362E7)</f>
        <v>53718362</v>
      </c>
    </row>
    <row r="157">
      <c r="A157" s="7">
        <f>IFERROR(__xludf.DUMMYFUNCTION("""COMPUTED_VALUE"""),45700.66666666667)</f>
        <v>45700.66667</v>
      </c>
      <c r="B157" s="5">
        <f>IFERROR(__xludf.DUMMYFUNCTION("""COMPUTED_VALUE"""),231.2)</f>
        <v>231.2</v>
      </c>
      <c r="C157" s="5">
        <f>IFERROR(__xludf.DUMMYFUNCTION("""COMPUTED_VALUE"""),236.96)</f>
        <v>236.96</v>
      </c>
      <c r="D157" s="5">
        <f>IFERROR(__xludf.DUMMYFUNCTION("""COMPUTED_VALUE"""),230.68)</f>
        <v>230.68</v>
      </c>
      <c r="E157" s="5">
        <f>IFERROR(__xludf.DUMMYFUNCTION("""COMPUTED_VALUE"""),236.87)</f>
        <v>236.87</v>
      </c>
      <c r="F157" s="5">
        <f>IFERROR(__xludf.DUMMYFUNCTION("""COMPUTED_VALUE"""),4.5243292E7)</f>
        <v>45243292</v>
      </c>
    </row>
    <row r="158">
      <c r="A158" s="7">
        <f>IFERROR(__xludf.DUMMYFUNCTION("""COMPUTED_VALUE"""),45701.66666666667)</f>
        <v>45701.66667</v>
      </c>
      <c r="B158" s="5">
        <f>IFERROR(__xludf.DUMMYFUNCTION("""COMPUTED_VALUE"""),236.91)</f>
        <v>236.91</v>
      </c>
      <c r="C158" s="5">
        <f>IFERROR(__xludf.DUMMYFUNCTION("""COMPUTED_VALUE"""),242.34)</f>
        <v>242.34</v>
      </c>
      <c r="D158" s="5">
        <f>IFERROR(__xludf.DUMMYFUNCTION("""COMPUTED_VALUE"""),235.57)</f>
        <v>235.57</v>
      </c>
      <c r="E158" s="5">
        <f>IFERROR(__xludf.DUMMYFUNCTION("""COMPUTED_VALUE"""),241.53)</f>
        <v>241.53</v>
      </c>
      <c r="F158" s="5">
        <f>IFERROR(__xludf.DUMMYFUNCTION("""COMPUTED_VALUE"""),5.3614054E7)</f>
        <v>53614054</v>
      </c>
    </row>
    <row r="159">
      <c r="A159" s="7">
        <f>IFERROR(__xludf.DUMMYFUNCTION("""COMPUTED_VALUE"""),45702.66666666667)</f>
        <v>45702.66667</v>
      </c>
      <c r="B159" s="5">
        <f>IFERROR(__xludf.DUMMYFUNCTION("""COMPUTED_VALUE"""),241.25)</f>
        <v>241.25</v>
      </c>
      <c r="C159" s="5">
        <f>IFERROR(__xludf.DUMMYFUNCTION("""COMPUTED_VALUE"""),245.55)</f>
        <v>245.55</v>
      </c>
      <c r="D159" s="5">
        <f>IFERROR(__xludf.DUMMYFUNCTION("""COMPUTED_VALUE"""),240.99)</f>
        <v>240.99</v>
      </c>
      <c r="E159" s="5">
        <f>IFERROR(__xludf.DUMMYFUNCTION("""COMPUTED_VALUE"""),244.6)</f>
        <v>244.6</v>
      </c>
      <c r="F159" s="5">
        <f>IFERROR(__xludf.DUMMYFUNCTION("""COMPUTED_VALUE"""),4.0896227E7)</f>
        <v>40896227</v>
      </c>
    </row>
    <row r="160">
      <c r="A160" s="7">
        <f>IFERROR(__xludf.DUMMYFUNCTION("""COMPUTED_VALUE"""),45706.66666666667)</f>
        <v>45706.66667</v>
      </c>
      <c r="B160" s="5">
        <f>IFERROR(__xludf.DUMMYFUNCTION("""COMPUTED_VALUE"""),244.15)</f>
        <v>244.15</v>
      </c>
      <c r="C160" s="5">
        <f>IFERROR(__xludf.DUMMYFUNCTION("""COMPUTED_VALUE"""),245.18)</f>
        <v>245.18</v>
      </c>
      <c r="D160" s="5">
        <f>IFERROR(__xludf.DUMMYFUNCTION("""COMPUTED_VALUE"""),241.84)</f>
        <v>241.84</v>
      </c>
      <c r="E160" s="5">
        <f>IFERROR(__xludf.DUMMYFUNCTION("""COMPUTED_VALUE"""),244.47)</f>
        <v>244.47</v>
      </c>
      <c r="F160" s="5">
        <f>IFERROR(__xludf.DUMMYFUNCTION("""COMPUTED_VALUE"""),4.8822491E7)</f>
        <v>48822491</v>
      </c>
    </row>
    <row r="161">
      <c r="A161" s="7">
        <f>IFERROR(__xludf.DUMMYFUNCTION("""COMPUTED_VALUE"""),45707.66666666667)</f>
        <v>45707.66667</v>
      </c>
      <c r="B161" s="5">
        <f>IFERROR(__xludf.DUMMYFUNCTION("""COMPUTED_VALUE"""),244.66)</f>
        <v>244.66</v>
      </c>
      <c r="C161" s="5">
        <f>IFERROR(__xludf.DUMMYFUNCTION("""COMPUTED_VALUE"""),246.01)</f>
        <v>246.01</v>
      </c>
      <c r="D161" s="5">
        <f>IFERROR(__xludf.DUMMYFUNCTION("""COMPUTED_VALUE"""),243.16)</f>
        <v>243.16</v>
      </c>
      <c r="E161" s="5">
        <f>IFERROR(__xludf.DUMMYFUNCTION("""COMPUTED_VALUE"""),244.87)</f>
        <v>244.87</v>
      </c>
      <c r="F161" s="5">
        <f>IFERROR(__xludf.DUMMYFUNCTION("""COMPUTED_VALUE"""),3.2204215E7)</f>
        <v>32204215</v>
      </c>
    </row>
    <row r="162">
      <c r="A162" s="7">
        <f>IFERROR(__xludf.DUMMYFUNCTION("""COMPUTED_VALUE"""),45708.66666666667)</f>
        <v>45708.66667</v>
      </c>
      <c r="B162" s="5">
        <f>IFERROR(__xludf.DUMMYFUNCTION("""COMPUTED_VALUE"""),244.94)</f>
        <v>244.94</v>
      </c>
      <c r="C162" s="5">
        <f>IFERROR(__xludf.DUMMYFUNCTION("""COMPUTED_VALUE"""),246.78)</f>
        <v>246.78</v>
      </c>
      <c r="D162" s="5">
        <f>IFERROR(__xludf.DUMMYFUNCTION("""COMPUTED_VALUE"""),244.29)</f>
        <v>244.29</v>
      </c>
      <c r="E162" s="5">
        <f>IFERROR(__xludf.DUMMYFUNCTION("""COMPUTED_VALUE"""),245.83)</f>
        <v>245.83</v>
      </c>
      <c r="F162" s="5">
        <f>IFERROR(__xludf.DUMMYFUNCTION("""COMPUTED_VALUE"""),3.2316907E7)</f>
        <v>32316907</v>
      </c>
    </row>
    <row r="163">
      <c r="A163" s="7">
        <f>IFERROR(__xludf.DUMMYFUNCTION("""COMPUTED_VALUE"""),45709.66666666667)</f>
        <v>45709.66667</v>
      </c>
      <c r="B163" s="5">
        <f>IFERROR(__xludf.DUMMYFUNCTION("""COMPUTED_VALUE"""),245.95)</f>
        <v>245.95</v>
      </c>
      <c r="C163" s="5">
        <f>IFERROR(__xludf.DUMMYFUNCTION("""COMPUTED_VALUE"""),248.69)</f>
        <v>248.69</v>
      </c>
      <c r="D163" s="5">
        <f>IFERROR(__xludf.DUMMYFUNCTION("""COMPUTED_VALUE"""),245.22)</f>
        <v>245.22</v>
      </c>
      <c r="E163" s="5">
        <f>IFERROR(__xludf.DUMMYFUNCTION("""COMPUTED_VALUE"""),245.55)</f>
        <v>245.55</v>
      </c>
      <c r="F163" s="5">
        <f>IFERROR(__xludf.DUMMYFUNCTION("""COMPUTED_VALUE"""),5.3197431E7)</f>
        <v>53197431</v>
      </c>
    </row>
    <row r="164">
      <c r="A164" s="7">
        <f>IFERROR(__xludf.DUMMYFUNCTION("""COMPUTED_VALUE"""),45712.66666666667)</f>
        <v>45712.66667</v>
      </c>
      <c r="B164" s="5">
        <f>IFERROR(__xludf.DUMMYFUNCTION("""COMPUTED_VALUE"""),244.93)</f>
        <v>244.93</v>
      </c>
      <c r="C164" s="5">
        <f>IFERROR(__xludf.DUMMYFUNCTION("""COMPUTED_VALUE"""),248.86)</f>
        <v>248.86</v>
      </c>
      <c r="D164" s="5">
        <f>IFERROR(__xludf.DUMMYFUNCTION("""COMPUTED_VALUE"""),244.42)</f>
        <v>244.42</v>
      </c>
      <c r="E164" s="5">
        <f>IFERROR(__xludf.DUMMYFUNCTION("""COMPUTED_VALUE"""),247.1)</f>
        <v>247.1</v>
      </c>
      <c r="F164" s="5">
        <f>IFERROR(__xludf.DUMMYFUNCTION("""COMPUTED_VALUE"""),5.1326396E7)</f>
        <v>51326396</v>
      </c>
    </row>
    <row r="165">
      <c r="A165" s="7">
        <f>IFERROR(__xludf.DUMMYFUNCTION("""COMPUTED_VALUE"""),45713.66666666667)</f>
        <v>45713.66667</v>
      </c>
      <c r="B165" s="5">
        <f>IFERROR(__xludf.DUMMYFUNCTION("""COMPUTED_VALUE"""),248.0)</f>
        <v>248</v>
      </c>
      <c r="C165" s="5">
        <f>IFERROR(__xludf.DUMMYFUNCTION("""COMPUTED_VALUE"""),250.0)</f>
        <v>250</v>
      </c>
      <c r="D165" s="5">
        <f>IFERROR(__xludf.DUMMYFUNCTION("""COMPUTED_VALUE"""),244.91)</f>
        <v>244.91</v>
      </c>
      <c r="E165" s="5">
        <f>IFERROR(__xludf.DUMMYFUNCTION("""COMPUTED_VALUE"""),247.04)</f>
        <v>247.04</v>
      </c>
      <c r="F165" s="5">
        <f>IFERROR(__xludf.DUMMYFUNCTION("""COMPUTED_VALUE"""),4.8013272E7)</f>
        <v>48013272</v>
      </c>
    </row>
    <row r="166">
      <c r="A166" s="7">
        <f>IFERROR(__xludf.DUMMYFUNCTION("""COMPUTED_VALUE"""),45714.66666666667)</f>
        <v>45714.66667</v>
      </c>
      <c r="B166" s="5">
        <f>IFERROR(__xludf.DUMMYFUNCTION("""COMPUTED_VALUE"""),244.33)</f>
        <v>244.33</v>
      </c>
      <c r="C166" s="5">
        <f>IFERROR(__xludf.DUMMYFUNCTION("""COMPUTED_VALUE"""),244.98)</f>
        <v>244.98</v>
      </c>
      <c r="D166" s="5">
        <f>IFERROR(__xludf.DUMMYFUNCTION("""COMPUTED_VALUE"""),239.13)</f>
        <v>239.13</v>
      </c>
      <c r="E166" s="5">
        <f>IFERROR(__xludf.DUMMYFUNCTION("""COMPUTED_VALUE"""),240.36)</f>
        <v>240.36</v>
      </c>
      <c r="F166" s="5">
        <f>IFERROR(__xludf.DUMMYFUNCTION("""COMPUTED_VALUE"""),4.4433564E7)</f>
        <v>44433564</v>
      </c>
    </row>
    <row r="167">
      <c r="A167" s="7">
        <f>IFERROR(__xludf.DUMMYFUNCTION("""COMPUTED_VALUE"""),45715.66666666667)</f>
        <v>45715.66667</v>
      </c>
      <c r="B167" s="5">
        <f>IFERROR(__xludf.DUMMYFUNCTION("""COMPUTED_VALUE"""),239.41)</f>
        <v>239.41</v>
      </c>
      <c r="C167" s="5">
        <f>IFERROR(__xludf.DUMMYFUNCTION("""COMPUTED_VALUE"""),242.46)</f>
        <v>242.46</v>
      </c>
      <c r="D167" s="5">
        <f>IFERROR(__xludf.DUMMYFUNCTION("""COMPUTED_VALUE"""),237.06)</f>
        <v>237.06</v>
      </c>
      <c r="E167" s="5">
        <f>IFERROR(__xludf.DUMMYFUNCTION("""COMPUTED_VALUE"""),237.3)</f>
        <v>237.3</v>
      </c>
      <c r="F167" s="5">
        <f>IFERROR(__xludf.DUMMYFUNCTION("""COMPUTED_VALUE"""),4.1153639E7)</f>
        <v>41153639</v>
      </c>
    </row>
    <row r="168">
      <c r="A168" s="7">
        <f>IFERROR(__xludf.DUMMYFUNCTION("""COMPUTED_VALUE"""),45716.66666666667)</f>
        <v>45716.66667</v>
      </c>
      <c r="B168" s="5">
        <f>IFERROR(__xludf.DUMMYFUNCTION("""COMPUTED_VALUE"""),236.95)</f>
        <v>236.95</v>
      </c>
      <c r="C168" s="5">
        <f>IFERROR(__xludf.DUMMYFUNCTION("""COMPUTED_VALUE"""),242.09)</f>
        <v>242.09</v>
      </c>
      <c r="D168" s="5">
        <f>IFERROR(__xludf.DUMMYFUNCTION("""COMPUTED_VALUE"""),230.2)</f>
        <v>230.2</v>
      </c>
      <c r="E168" s="5">
        <f>IFERROR(__xludf.DUMMYFUNCTION("""COMPUTED_VALUE"""),241.84)</f>
        <v>241.84</v>
      </c>
      <c r="F168" s="5">
        <f>IFERROR(__xludf.DUMMYFUNCTION("""COMPUTED_VALUE"""),5.683336E7)</f>
        <v>56833360</v>
      </c>
    </row>
    <row r="169">
      <c r="A169" s="7">
        <f>IFERROR(__xludf.DUMMYFUNCTION("""COMPUTED_VALUE"""),45719.66666666667)</f>
        <v>45719.66667</v>
      </c>
      <c r="B169" s="5">
        <f>IFERROR(__xludf.DUMMYFUNCTION("""COMPUTED_VALUE"""),241.79)</f>
        <v>241.79</v>
      </c>
      <c r="C169" s="5">
        <f>IFERROR(__xludf.DUMMYFUNCTION("""COMPUTED_VALUE"""),244.03)</f>
        <v>244.03</v>
      </c>
      <c r="D169" s="5">
        <f>IFERROR(__xludf.DUMMYFUNCTION("""COMPUTED_VALUE"""),236.11)</f>
        <v>236.11</v>
      </c>
      <c r="E169" s="5">
        <f>IFERROR(__xludf.DUMMYFUNCTION("""COMPUTED_VALUE"""),238.03)</f>
        <v>238.03</v>
      </c>
      <c r="F169" s="5">
        <f>IFERROR(__xludf.DUMMYFUNCTION("""COMPUTED_VALUE"""),4.7183985E7)</f>
        <v>47183985</v>
      </c>
    </row>
    <row r="170">
      <c r="A170" s="7">
        <f>IFERROR(__xludf.DUMMYFUNCTION("""COMPUTED_VALUE"""),45720.66666666667)</f>
        <v>45720.66667</v>
      </c>
      <c r="B170" s="5">
        <f>IFERROR(__xludf.DUMMYFUNCTION("""COMPUTED_VALUE"""),237.71)</f>
        <v>237.71</v>
      </c>
      <c r="C170" s="5">
        <f>IFERROR(__xludf.DUMMYFUNCTION("""COMPUTED_VALUE"""),240.07)</f>
        <v>240.07</v>
      </c>
      <c r="D170" s="5">
        <f>IFERROR(__xludf.DUMMYFUNCTION("""COMPUTED_VALUE"""),234.68)</f>
        <v>234.68</v>
      </c>
      <c r="E170" s="5">
        <f>IFERROR(__xludf.DUMMYFUNCTION("""COMPUTED_VALUE"""),235.93)</f>
        <v>235.93</v>
      </c>
      <c r="F170" s="5">
        <f>IFERROR(__xludf.DUMMYFUNCTION("""COMPUTED_VALUE"""),5.3798062E7)</f>
        <v>53798062</v>
      </c>
    </row>
    <row r="171">
      <c r="A171" s="7">
        <f>IFERROR(__xludf.DUMMYFUNCTION("""COMPUTED_VALUE"""),45721.66666666667)</f>
        <v>45721.66667</v>
      </c>
      <c r="B171" s="5">
        <f>IFERROR(__xludf.DUMMYFUNCTION("""COMPUTED_VALUE"""),235.42)</f>
        <v>235.42</v>
      </c>
      <c r="C171" s="5">
        <f>IFERROR(__xludf.DUMMYFUNCTION("""COMPUTED_VALUE"""),236.55)</f>
        <v>236.55</v>
      </c>
      <c r="D171" s="5">
        <f>IFERROR(__xludf.DUMMYFUNCTION("""COMPUTED_VALUE"""),229.23)</f>
        <v>229.23</v>
      </c>
      <c r="E171" s="5">
        <f>IFERROR(__xludf.DUMMYFUNCTION("""COMPUTED_VALUE"""),235.74)</f>
        <v>235.74</v>
      </c>
      <c r="F171" s="5">
        <f>IFERROR(__xludf.DUMMYFUNCTION("""COMPUTED_VALUE"""),4.7227643E7)</f>
        <v>47227643</v>
      </c>
    </row>
    <row r="172">
      <c r="A172" s="7">
        <f>IFERROR(__xludf.DUMMYFUNCTION("""COMPUTED_VALUE"""),45722.66666666667)</f>
        <v>45722.66667</v>
      </c>
      <c r="B172" s="5">
        <f>IFERROR(__xludf.DUMMYFUNCTION("""COMPUTED_VALUE"""),234.44)</f>
        <v>234.44</v>
      </c>
      <c r="C172" s="5">
        <f>IFERROR(__xludf.DUMMYFUNCTION("""COMPUTED_VALUE"""),237.86)</f>
        <v>237.86</v>
      </c>
      <c r="D172" s="5">
        <f>IFERROR(__xludf.DUMMYFUNCTION("""COMPUTED_VALUE"""),233.16)</f>
        <v>233.16</v>
      </c>
      <c r="E172" s="5">
        <f>IFERROR(__xludf.DUMMYFUNCTION("""COMPUTED_VALUE"""),235.33)</f>
        <v>235.33</v>
      </c>
      <c r="F172" s="5">
        <f>IFERROR(__xludf.DUMMYFUNCTION("""COMPUTED_VALUE"""),4.5170419E7)</f>
        <v>45170419</v>
      </c>
    </row>
    <row r="173">
      <c r="A173" s="7">
        <f>IFERROR(__xludf.DUMMYFUNCTION("""COMPUTED_VALUE"""),45723.66666666667)</f>
        <v>45723.66667</v>
      </c>
      <c r="B173" s="5">
        <f>IFERROR(__xludf.DUMMYFUNCTION("""COMPUTED_VALUE"""),235.11)</f>
        <v>235.11</v>
      </c>
      <c r="C173" s="5">
        <f>IFERROR(__xludf.DUMMYFUNCTION("""COMPUTED_VALUE"""),241.37)</f>
        <v>241.37</v>
      </c>
      <c r="D173" s="5">
        <f>IFERROR(__xludf.DUMMYFUNCTION("""COMPUTED_VALUE"""),234.76)</f>
        <v>234.76</v>
      </c>
      <c r="E173" s="5">
        <f>IFERROR(__xludf.DUMMYFUNCTION("""COMPUTED_VALUE"""),239.07)</f>
        <v>239.07</v>
      </c>
      <c r="F173" s="5">
        <f>IFERROR(__xludf.DUMMYFUNCTION("""COMPUTED_VALUE"""),4.6273565E7)</f>
        <v>46273565</v>
      </c>
    </row>
    <row r="174">
      <c r="A174" s="7">
        <f>IFERROR(__xludf.DUMMYFUNCTION("""COMPUTED_VALUE"""),45726.66666666667)</f>
        <v>45726.66667</v>
      </c>
      <c r="B174" s="5">
        <f>IFERROR(__xludf.DUMMYFUNCTION("""COMPUTED_VALUE"""),235.54)</f>
        <v>235.54</v>
      </c>
      <c r="C174" s="5">
        <f>IFERROR(__xludf.DUMMYFUNCTION("""COMPUTED_VALUE"""),236.16)</f>
        <v>236.16</v>
      </c>
      <c r="D174" s="5">
        <f>IFERROR(__xludf.DUMMYFUNCTION("""COMPUTED_VALUE"""),224.22)</f>
        <v>224.22</v>
      </c>
      <c r="E174" s="5">
        <f>IFERROR(__xludf.DUMMYFUNCTION("""COMPUTED_VALUE"""),227.48)</f>
        <v>227.48</v>
      </c>
      <c r="F174" s="5">
        <f>IFERROR(__xludf.DUMMYFUNCTION("""COMPUTED_VALUE"""),7.2071197E7)</f>
        <v>72071197</v>
      </c>
    </row>
    <row r="175">
      <c r="A175" s="7">
        <f>IFERROR(__xludf.DUMMYFUNCTION("""COMPUTED_VALUE"""),45727.66666666667)</f>
        <v>45727.66667</v>
      </c>
      <c r="B175" s="5">
        <f>IFERROR(__xludf.DUMMYFUNCTION("""COMPUTED_VALUE"""),223.81)</f>
        <v>223.81</v>
      </c>
      <c r="C175" s="5">
        <f>IFERROR(__xludf.DUMMYFUNCTION("""COMPUTED_VALUE"""),225.84)</f>
        <v>225.84</v>
      </c>
      <c r="D175" s="5">
        <f>IFERROR(__xludf.DUMMYFUNCTION("""COMPUTED_VALUE"""),217.45)</f>
        <v>217.45</v>
      </c>
      <c r="E175" s="5">
        <f>IFERROR(__xludf.DUMMYFUNCTION("""COMPUTED_VALUE"""),220.84)</f>
        <v>220.84</v>
      </c>
      <c r="F175" s="5">
        <f>IFERROR(__xludf.DUMMYFUNCTION("""COMPUTED_VALUE"""),7.613741E7)</f>
        <v>76137410</v>
      </c>
    </row>
    <row r="176">
      <c r="A176" s="7">
        <f>IFERROR(__xludf.DUMMYFUNCTION("""COMPUTED_VALUE"""),45728.66666666667)</f>
        <v>45728.66667</v>
      </c>
      <c r="B176" s="5">
        <f>IFERROR(__xludf.DUMMYFUNCTION("""COMPUTED_VALUE"""),220.14)</f>
        <v>220.14</v>
      </c>
      <c r="C176" s="5">
        <f>IFERROR(__xludf.DUMMYFUNCTION("""COMPUTED_VALUE"""),221.75)</f>
        <v>221.75</v>
      </c>
      <c r="D176" s="5">
        <f>IFERROR(__xludf.DUMMYFUNCTION("""COMPUTED_VALUE"""),214.91)</f>
        <v>214.91</v>
      </c>
      <c r="E176" s="5">
        <f>IFERROR(__xludf.DUMMYFUNCTION("""COMPUTED_VALUE"""),216.98)</f>
        <v>216.98</v>
      </c>
      <c r="F176" s="5">
        <f>IFERROR(__xludf.DUMMYFUNCTION("""COMPUTED_VALUE"""),6.2547467E7)</f>
        <v>62547467</v>
      </c>
    </row>
    <row r="177">
      <c r="A177" s="7">
        <f>IFERROR(__xludf.DUMMYFUNCTION("""COMPUTED_VALUE"""),45729.66666666667)</f>
        <v>45729.66667</v>
      </c>
      <c r="B177" s="5">
        <f>IFERROR(__xludf.DUMMYFUNCTION("""COMPUTED_VALUE"""),215.95)</f>
        <v>215.95</v>
      </c>
      <c r="C177" s="5">
        <f>IFERROR(__xludf.DUMMYFUNCTION("""COMPUTED_VALUE"""),216.84)</f>
        <v>216.84</v>
      </c>
      <c r="D177" s="5">
        <f>IFERROR(__xludf.DUMMYFUNCTION("""COMPUTED_VALUE"""),208.42)</f>
        <v>208.42</v>
      </c>
      <c r="E177" s="5">
        <f>IFERROR(__xludf.DUMMYFUNCTION("""COMPUTED_VALUE"""),209.68)</f>
        <v>209.68</v>
      </c>
      <c r="F177" s="5">
        <f>IFERROR(__xludf.DUMMYFUNCTION("""COMPUTED_VALUE"""),6.136833E7)</f>
        <v>61368330</v>
      </c>
    </row>
    <row r="178">
      <c r="A178" s="7">
        <f>IFERROR(__xludf.DUMMYFUNCTION("""COMPUTED_VALUE"""),45730.66666666667)</f>
        <v>45730.66667</v>
      </c>
      <c r="B178" s="5">
        <f>IFERROR(__xludf.DUMMYFUNCTION("""COMPUTED_VALUE"""),211.25)</f>
        <v>211.25</v>
      </c>
      <c r="C178" s="5">
        <f>IFERROR(__xludf.DUMMYFUNCTION("""COMPUTED_VALUE"""),213.95)</f>
        <v>213.95</v>
      </c>
      <c r="D178" s="5">
        <f>IFERROR(__xludf.DUMMYFUNCTION("""COMPUTED_VALUE"""),209.58)</f>
        <v>209.58</v>
      </c>
      <c r="E178" s="5">
        <f>IFERROR(__xludf.DUMMYFUNCTION("""COMPUTED_VALUE"""),213.49)</f>
        <v>213.49</v>
      </c>
      <c r="F178" s="5">
        <f>IFERROR(__xludf.DUMMYFUNCTION("""COMPUTED_VALUE"""),6.0107582E7)</f>
        <v>60107582</v>
      </c>
    </row>
    <row r="179">
      <c r="A179" s="7">
        <f>IFERROR(__xludf.DUMMYFUNCTION("""COMPUTED_VALUE"""),45733.66666666667)</f>
        <v>45733.66667</v>
      </c>
      <c r="B179" s="5">
        <f>IFERROR(__xludf.DUMMYFUNCTION("""COMPUTED_VALUE"""),213.31)</f>
        <v>213.31</v>
      </c>
      <c r="C179" s="5">
        <f>IFERROR(__xludf.DUMMYFUNCTION("""COMPUTED_VALUE"""),215.22)</f>
        <v>215.22</v>
      </c>
      <c r="D179" s="5">
        <f>IFERROR(__xludf.DUMMYFUNCTION("""COMPUTED_VALUE"""),209.97)</f>
        <v>209.97</v>
      </c>
      <c r="E179" s="5">
        <f>IFERROR(__xludf.DUMMYFUNCTION("""COMPUTED_VALUE"""),214.0)</f>
        <v>214</v>
      </c>
      <c r="F179" s="5">
        <f>IFERROR(__xludf.DUMMYFUNCTION("""COMPUTED_VALUE"""),4.8073426E7)</f>
        <v>48073426</v>
      </c>
    </row>
    <row r="180">
      <c r="A180" s="7">
        <f>IFERROR(__xludf.DUMMYFUNCTION("""COMPUTED_VALUE"""),45734.66666666667)</f>
        <v>45734.66667</v>
      </c>
      <c r="B180" s="5">
        <f>IFERROR(__xludf.DUMMYFUNCTION("""COMPUTED_VALUE"""),214.16)</f>
        <v>214.16</v>
      </c>
      <c r="C180" s="5">
        <f>IFERROR(__xludf.DUMMYFUNCTION("""COMPUTED_VALUE"""),215.15)</f>
        <v>215.15</v>
      </c>
      <c r="D180" s="5">
        <f>IFERROR(__xludf.DUMMYFUNCTION("""COMPUTED_VALUE"""),211.49)</f>
        <v>211.49</v>
      </c>
      <c r="E180" s="5">
        <f>IFERROR(__xludf.DUMMYFUNCTION("""COMPUTED_VALUE"""),212.69)</f>
        <v>212.69</v>
      </c>
      <c r="F180" s="5">
        <f>IFERROR(__xludf.DUMMYFUNCTION("""COMPUTED_VALUE"""),4.2432426E7)</f>
        <v>42432426</v>
      </c>
    </row>
    <row r="181">
      <c r="A181" s="7">
        <f>IFERROR(__xludf.DUMMYFUNCTION("""COMPUTED_VALUE"""),45735.66666666667)</f>
        <v>45735.66667</v>
      </c>
      <c r="B181" s="5">
        <f>IFERROR(__xludf.DUMMYFUNCTION("""COMPUTED_VALUE"""),214.22)</f>
        <v>214.22</v>
      </c>
      <c r="C181" s="5">
        <f>IFERROR(__xludf.DUMMYFUNCTION("""COMPUTED_VALUE"""),218.76)</f>
        <v>218.76</v>
      </c>
      <c r="D181" s="5">
        <f>IFERROR(__xludf.DUMMYFUNCTION("""COMPUTED_VALUE"""),213.75)</f>
        <v>213.75</v>
      </c>
      <c r="E181" s="5">
        <f>IFERROR(__xludf.DUMMYFUNCTION("""COMPUTED_VALUE"""),215.24)</f>
        <v>215.24</v>
      </c>
      <c r="F181" s="5">
        <f>IFERROR(__xludf.DUMMYFUNCTION("""COMPUTED_VALUE"""),5.4385391E7)</f>
        <v>54385391</v>
      </c>
    </row>
    <row r="182">
      <c r="A182" s="7">
        <f>IFERROR(__xludf.DUMMYFUNCTION("""COMPUTED_VALUE"""),45736.66666666667)</f>
        <v>45736.66667</v>
      </c>
      <c r="B182" s="5">
        <f>IFERROR(__xludf.DUMMYFUNCTION("""COMPUTED_VALUE"""),213.99)</f>
        <v>213.99</v>
      </c>
      <c r="C182" s="5">
        <f>IFERROR(__xludf.DUMMYFUNCTION("""COMPUTED_VALUE"""),217.49)</f>
        <v>217.49</v>
      </c>
      <c r="D182" s="5">
        <f>IFERROR(__xludf.DUMMYFUNCTION("""COMPUTED_VALUE"""),212.22)</f>
        <v>212.22</v>
      </c>
      <c r="E182" s="5">
        <f>IFERROR(__xludf.DUMMYFUNCTION("""COMPUTED_VALUE"""),214.1)</f>
        <v>214.1</v>
      </c>
      <c r="F182" s="5">
        <f>IFERROR(__xludf.DUMMYFUNCTION("""COMPUTED_VALUE"""),4.8862947E7)</f>
        <v>48862947</v>
      </c>
    </row>
    <row r="183">
      <c r="A183" s="7">
        <f>IFERROR(__xludf.DUMMYFUNCTION("""COMPUTED_VALUE"""),45737.66666666667)</f>
        <v>45737.66667</v>
      </c>
      <c r="B183" s="5">
        <f>IFERROR(__xludf.DUMMYFUNCTION("""COMPUTED_VALUE"""),211.56)</f>
        <v>211.56</v>
      </c>
      <c r="C183" s="5">
        <f>IFERROR(__xludf.DUMMYFUNCTION("""COMPUTED_VALUE"""),218.84)</f>
        <v>218.84</v>
      </c>
      <c r="D183" s="5">
        <f>IFERROR(__xludf.DUMMYFUNCTION("""COMPUTED_VALUE"""),211.28)</f>
        <v>211.28</v>
      </c>
      <c r="E183" s="5">
        <f>IFERROR(__xludf.DUMMYFUNCTION("""COMPUTED_VALUE"""),218.27)</f>
        <v>218.27</v>
      </c>
      <c r="F183" s="5">
        <f>IFERROR(__xludf.DUMMYFUNCTION("""COMPUTED_VALUE"""),9.4127768E7)</f>
        <v>94127768</v>
      </c>
    </row>
    <row r="184">
      <c r="A184" s="7">
        <f>IFERROR(__xludf.DUMMYFUNCTION("""COMPUTED_VALUE"""),45740.66666666667)</f>
        <v>45740.66667</v>
      </c>
      <c r="B184" s="5">
        <f>IFERROR(__xludf.DUMMYFUNCTION("""COMPUTED_VALUE"""),221.0)</f>
        <v>221</v>
      </c>
      <c r="C184" s="5">
        <f>IFERROR(__xludf.DUMMYFUNCTION("""COMPUTED_VALUE"""),221.48)</f>
        <v>221.48</v>
      </c>
      <c r="D184" s="5">
        <f>IFERROR(__xludf.DUMMYFUNCTION("""COMPUTED_VALUE"""),218.58)</f>
        <v>218.58</v>
      </c>
      <c r="E184" s="5">
        <f>IFERROR(__xludf.DUMMYFUNCTION("""COMPUTED_VALUE"""),220.73)</f>
        <v>220.73</v>
      </c>
      <c r="F184" s="5">
        <f>IFERROR(__xludf.DUMMYFUNCTION("""COMPUTED_VALUE"""),4.4299483E7)</f>
        <v>44299483</v>
      </c>
    </row>
    <row r="185">
      <c r="A185" s="7">
        <f>IFERROR(__xludf.DUMMYFUNCTION("""COMPUTED_VALUE"""),45741.66666666667)</f>
        <v>45741.66667</v>
      </c>
      <c r="B185" s="5">
        <f>IFERROR(__xludf.DUMMYFUNCTION("""COMPUTED_VALUE"""),220.77)</f>
        <v>220.77</v>
      </c>
      <c r="C185" s="5">
        <f>IFERROR(__xludf.DUMMYFUNCTION("""COMPUTED_VALUE"""),224.1)</f>
        <v>224.1</v>
      </c>
      <c r="D185" s="5">
        <f>IFERROR(__xludf.DUMMYFUNCTION("""COMPUTED_VALUE"""),220.08)</f>
        <v>220.08</v>
      </c>
      <c r="E185" s="5">
        <f>IFERROR(__xludf.DUMMYFUNCTION("""COMPUTED_VALUE"""),223.75)</f>
        <v>223.75</v>
      </c>
      <c r="F185" s="5">
        <f>IFERROR(__xludf.DUMMYFUNCTION("""COMPUTED_VALUE"""),3.4493583E7)</f>
        <v>34493583</v>
      </c>
    </row>
    <row r="186">
      <c r="A186" s="7">
        <f>IFERROR(__xludf.DUMMYFUNCTION("""COMPUTED_VALUE"""),45742.66666666667)</f>
        <v>45742.66667</v>
      </c>
      <c r="B186" s="5">
        <f>IFERROR(__xludf.DUMMYFUNCTION("""COMPUTED_VALUE"""),223.51)</f>
        <v>223.51</v>
      </c>
      <c r="C186" s="5">
        <f>IFERROR(__xludf.DUMMYFUNCTION("""COMPUTED_VALUE"""),225.02)</f>
        <v>225.02</v>
      </c>
      <c r="D186" s="5">
        <f>IFERROR(__xludf.DUMMYFUNCTION("""COMPUTED_VALUE"""),220.47)</f>
        <v>220.47</v>
      </c>
      <c r="E186" s="5">
        <f>IFERROR(__xludf.DUMMYFUNCTION("""COMPUTED_VALUE"""),221.53)</f>
        <v>221.53</v>
      </c>
      <c r="F186" s="5">
        <f>IFERROR(__xludf.DUMMYFUNCTION("""COMPUTED_VALUE"""),3.4532656E7)</f>
        <v>34532656</v>
      </c>
    </row>
    <row r="187">
      <c r="A187" s="7">
        <f>IFERROR(__xludf.DUMMYFUNCTION("""COMPUTED_VALUE"""),45743.66666666667)</f>
        <v>45743.66667</v>
      </c>
      <c r="B187" s="5">
        <f>IFERROR(__xludf.DUMMYFUNCTION("""COMPUTED_VALUE"""),221.39)</f>
        <v>221.39</v>
      </c>
      <c r="C187" s="5">
        <f>IFERROR(__xludf.DUMMYFUNCTION("""COMPUTED_VALUE"""),224.99)</f>
        <v>224.99</v>
      </c>
      <c r="D187" s="5">
        <f>IFERROR(__xludf.DUMMYFUNCTION("""COMPUTED_VALUE"""),220.56)</f>
        <v>220.56</v>
      </c>
      <c r="E187" s="5">
        <f>IFERROR(__xludf.DUMMYFUNCTION("""COMPUTED_VALUE"""),223.85)</f>
        <v>223.85</v>
      </c>
      <c r="F187" s="5">
        <f>IFERROR(__xludf.DUMMYFUNCTION("""COMPUTED_VALUE"""),3.7094774E7)</f>
        <v>37094774</v>
      </c>
    </row>
    <row r="188">
      <c r="A188" s="7">
        <f>IFERROR(__xludf.DUMMYFUNCTION("""COMPUTED_VALUE"""),45744.66666666667)</f>
        <v>45744.66667</v>
      </c>
      <c r="B188" s="5">
        <f>IFERROR(__xludf.DUMMYFUNCTION("""COMPUTED_VALUE"""),221.67)</f>
        <v>221.67</v>
      </c>
      <c r="C188" s="5">
        <f>IFERROR(__xludf.DUMMYFUNCTION("""COMPUTED_VALUE"""),223.81)</f>
        <v>223.81</v>
      </c>
      <c r="D188" s="5">
        <f>IFERROR(__xludf.DUMMYFUNCTION("""COMPUTED_VALUE"""),217.68)</f>
        <v>217.68</v>
      </c>
      <c r="E188" s="5">
        <f>IFERROR(__xludf.DUMMYFUNCTION("""COMPUTED_VALUE"""),217.9)</f>
        <v>217.9</v>
      </c>
      <c r="F188" s="5">
        <f>IFERROR(__xludf.DUMMYFUNCTION("""COMPUTED_VALUE"""),3.9818617E7)</f>
        <v>39818617</v>
      </c>
    </row>
    <row r="189">
      <c r="A189" s="7">
        <f>IFERROR(__xludf.DUMMYFUNCTION("""COMPUTED_VALUE"""),45747.66666666667)</f>
        <v>45747.66667</v>
      </c>
      <c r="B189" s="5">
        <f>IFERROR(__xludf.DUMMYFUNCTION("""COMPUTED_VALUE"""),217.01)</f>
        <v>217.01</v>
      </c>
      <c r="C189" s="5">
        <f>IFERROR(__xludf.DUMMYFUNCTION("""COMPUTED_VALUE"""),225.62)</f>
        <v>225.62</v>
      </c>
      <c r="D189" s="5">
        <f>IFERROR(__xludf.DUMMYFUNCTION("""COMPUTED_VALUE"""),216.23)</f>
        <v>216.23</v>
      </c>
      <c r="E189" s="5">
        <f>IFERROR(__xludf.DUMMYFUNCTION("""COMPUTED_VALUE"""),222.13)</f>
        <v>222.13</v>
      </c>
      <c r="F189" s="5">
        <f>IFERROR(__xludf.DUMMYFUNCTION("""COMPUTED_VALUE"""),6.5299321E7)</f>
        <v>65299321</v>
      </c>
    </row>
    <row r="190">
      <c r="A190" s="7">
        <f>IFERROR(__xludf.DUMMYFUNCTION("""COMPUTED_VALUE"""),45748.66666666667)</f>
        <v>45748.66667</v>
      </c>
      <c r="B190" s="5">
        <f>IFERROR(__xludf.DUMMYFUNCTION("""COMPUTED_VALUE"""),219.81)</f>
        <v>219.81</v>
      </c>
      <c r="C190" s="5">
        <f>IFERROR(__xludf.DUMMYFUNCTION("""COMPUTED_VALUE"""),223.68)</f>
        <v>223.68</v>
      </c>
      <c r="D190" s="5">
        <f>IFERROR(__xludf.DUMMYFUNCTION("""COMPUTED_VALUE"""),218.9)</f>
        <v>218.9</v>
      </c>
      <c r="E190" s="5">
        <f>IFERROR(__xludf.DUMMYFUNCTION("""COMPUTED_VALUE"""),223.19)</f>
        <v>223.19</v>
      </c>
      <c r="F190" s="5">
        <f>IFERROR(__xludf.DUMMYFUNCTION("""COMPUTED_VALUE"""),3.641274E7)</f>
        <v>36412740</v>
      </c>
    </row>
    <row r="191">
      <c r="A191" s="7">
        <f>IFERROR(__xludf.DUMMYFUNCTION("""COMPUTED_VALUE"""),45749.66666666667)</f>
        <v>45749.66667</v>
      </c>
      <c r="B191" s="5">
        <f>IFERROR(__xludf.DUMMYFUNCTION("""COMPUTED_VALUE"""),221.32)</f>
        <v>221.32</v>
      </c>
      <c r="C191" s="5">
        <f>IFERROR(__xludf.DUMMYFUNCTION("""COMPUTED_VALUE"""),225.19)</f>
        <v>225.19</v>
      </c>
      <c r="D191" s="5">
        <f>IFERROR(__xludf.DUMMYFUNCTION("""COMPUTED_VALUE"""),221.02)</f>
        <v>221.02</v>
      </c>
      <c r="E191" s="5">
        <f>IFERROR(__xludf.DUMMYFUNCTION("""COMPUTED_VALUE"""),223.89)</f>
        <v>223.89</v>
      </c>
      <c r="F191" s="5">
        <f>IFERROR(__xludf.DUMMYFUNCTION("""COMPUTED_VALUE"""),3.5905904E7)</f>
        <v>35905904</v>
      </c>
    </row>
    <row r="192">
      <c r="A192" s="7">
        <f>IFERROR(__xludf.DUMMYFUNCTION("""COMPUTED_VALUE"""),45750.66666666667)</f>
        <v>45750.66667</v>
      </c>
      <c r="B192" s="5">
        <f>IFERROR(__xludf.DUMMYFUNCTION("""COMPUTED_VALUE"""),205.54)</f>
        <v>205.54</v>
      </c>
      <c r="C192" s="5">
        <f>IFERROR(__xludf.DUMMYFUNCTION("""COMPUTED_VALUE"""),207.49)</f>
        <v>207.49</v>
      </c>
      <c r="D192" s="5">
        <f>IFERROR(__xludf.DUMMYFUNCTION("""COMPUTED_VALUE"""),201.25)</f>
        <v>201.25</v>
      </c>
      <c r="E192" s="5">
        <f>IFERROR(__xludf.DUMMYFUNCTION("""COMPUTED_VALUE"""),203.19)</f>
        <v>203.19</v>
      </c>
      <c r="F192" s="5">
        <f>IFERROR(__xludf.DUMMYFUNCTION("""COMPUTED_VALUE"""),1.03419006E8)</f>
        <v>103419006</v>
      </c>
    </row>
    <row r="193">
      <c r="A193" s="7">
        <f>IFERROR(__xludf.DUMMYFUNCTION("""COMPUTED_VALUE"""),45751.66666666667)</f>
        <v>45751.66667</v>
      </c>
      <c r="B193" s="5">
        <f>IFERROR(__xludf.DUMMYFUNCTION("""COMPUTED_VALUE"""),193.89)</f>
        <v>193.89</v>
      </c>
      <c r="C193" s="5">
        <f>IFERROR(__xludf.DUMMYFUNCTION("""COMPUTED_VALUE"""),199.88)</f>
        <v>199.88</v>
      </c>
      <c r="D193" s="5">
        <f>IFERROR(__xludf.DUMMYFUNCTION("""COMPUTED_VALUE"""),187.34)</f>
        <v>187.34</v>
      </c>
      <c r="E193" s="5">
        <f>IFERROR(__xludf.DUMMYFUNCTION("""COMPUTED_VALUE"""),188.38)</f>
        <v>188.38</v>
      </c>
      <c r="F193" s="5">
        <f>IFERROR(__xludf.DUMMYFUNCTION("""COMPUTED_VALUE"""),1.25910913E8)</f>
        <v>125910913</v>
      </c>
    </row>
    <row r="194">
      <c r="A194" s="7">
        <f>IFERROR(__xludf.DUMMYFUNCTION("""COMPUTED_VALUE"""),45754.66666666667)</f>
        <v>45754.66667</v>
      </c>
      <c r="B194" s="5">
        <f>IFERROR(__xludf.DUMMYFUNCTION("""COMPUTED_VALUE"""),177.2)</f>
        <v>177.2</v>
      </c>
      <c r="C194" s="5">
        <f>IFERROR(__xludf.DUMMYFUNCTION("""COMPUTED_VALUE"""),194.15)</f>
        <v>194.15</v>
      </c>
      <c r="D194" s="5">
        <f>IFERROR(__xludf.DUMMYFUNCTION("""COMPUTED_VALUE"""),174.62)</f>
        <v>174.62</v>
      </c>
      <c r="E194" s="5">
        <f>IFERROR(__xludf.DUMMYFUNCTION("""COMPUTED_VALUE"""),181.46)</f>
        <v>181.46</v>
      </c>
      <c r="F194" s="5">
        <f>IFERROR(__xludf.DUMMYFUNCTION("""COMPUTED_VALUE"""),1.60466286E8)</f>
        <v>160466286</v>
      </c>
    </row>
    <row r="195">
      <c r="A195" s="7">
        <f>IFERROR(__xludf.DUMMYFUNCTION("""COMPUTED_VALUE"""),45755.66666666667)</f>
        <v>45755.66667</v>
      </c>
      <c r="B195" s="5">
        <f>IFERROR(__xludf.DUMMYFUNCTION("""COMPUTED_VALUE"""),186.7)</f>
        <v>186.7</v>
      </c>
      <c r="C195" s="5">
        <f>IFERROR(__xludf.DUMMYFUNCTION("""COMPUTED_VALUE"""),190.34)</f>
        <v>190.34</v>
      </c>
      <c r="D195" s="5">
        <f>IFERROR(__xludf.DUMMYFUNCTION("""COMPUTED_VALUE"""),169.21)</f>
        <v>169.21</v>
      </c>
      <c r="E195" s="5">
        <f>IFERROR(__xludf.DUMMYFUNCTION("""COMPUTED_VALUE"""),172.42)</f>
        <v>172.42</v>
      </c>
      <c r="F195" s="5">
        <f>IFERROR(__xludf.DUMMYFUNCTION("""COMPUTED_VALUE"""),1.20859491E8)</f>
        <v>120859491</v>
      </c>
    </row>
    <row r="196">
      <c r="A196" s="7">
        <f>IFERROR(__xludf.DUMMYFUNCTION("""COMPUTED_VALUE"""),45756.66666666667)</f>
        <v>45756.66667</v>
      </c>
      <c r="B196" s="5">
        <f>IFERROR(__xludf.DUMMYFUNCTION("""COMPUTED_VALUE"""),171.95)</f>
        <v>171.95</v>
      </c>
      <c r="C196" s="5">
        <f>IFERROR(__xludf.DUMMYFUNCTION("""COMPUTED_VALUE"""),200.61)</f>
        <v>200.61</v>
      </c>
      <c r="D196" s="5">
        <f>IFERROR(__xludf.DUMMYFUNCTION("""COMPUTED_VALUE"""),171.89)</f>
        <v>171.89</v>
      </c>
      <c r="E196" s="5">
        <f>IFERROR(__xludf.DUMMYFUNCTION("""COMPUTED_VALUE"""),198.85)</f>
        <v>198.85</v>
      </c>
      <c r="F196" s="5">
        <f>IFERROR(__xludf.DUMMYFUNCTION("""COMPUTED_VALUE"""),1.84395885E8)</f>
        <v>184395885</v>
      </c>
    </row>
    <row r="197">
      <c r="A197" s="7">
        <f>IFERROR(__xludf.DUMMYFUNCTION("""COMPUTED_VALUE"""),45757.66666666667)</f>
        <v>45757.66667</v>
      </c>
      <c r="B197" s="5">
        <f>IFERROR(__xludf.DUMMYFUNCTION("""COMPUTED_VALUE"""),189.07)</f>
        <v>189.07</v>
      </c>
      <c r="C197" s="5">
        <f>IFERROR(__xludf.DUMMYFUNCTION("""COMPUTED_VALUE"""),194.78)</f>
        <v>194.78</v>
      </c>
      <c r="D197" s="5">
        <f>IFERROR(__xludf.DUMMYFUNCTION("""COMPUTED_VALUE"""),183.0)</f>
        <v>183</v>
      </c>
      <c r="E197" s="5">
        <f>IFERROR(__xludf.DUMMYFUNCTION("""COMPUTED_VALUE"""),190.42)</f>
        <v>190.42</v>
      </c>
      <c r="F197" s="5">
        <f>IFERROR(__xludf.DUMMYFUNCTION("""COMPUTED_VALUE"""),1.21879981E8)</f>
        <v>121879981</v>
      </c>
    </row>
    <row r="198">
      <c r="A198" s="7">
        <f>IFERROR(__xludf.DUMMYFUNCTION("""COMPUTED_VALUE"""),45758.66666666667)</f>
        <v>45758.66667</v>
      </c>
      <c r="B198" s="5">
        <f>IFERROR(__xludf.DUMMYFUNCTION("""COMPUTED_VALUE"""),186.1)</f>
        <v>186.1</v>
      </c>
      <c r="C198" s="5">
        <f>IFERROR(__xludf.DUMMYFUNCTION("""COMPUTED_VALUE"""),199.54)</f>
        <v>199.54</v>
      </c>
      <c r="D198" s="5">
        <f>IFERROR(__xludf.DUMMYFUNCTION("""COMPUTED_VALUE"""),186.06)</f>
        <v>186.06</v>
      </c>
      <c r="E198" s="5">
        <f>IFERROR(__xludf.DUMMYFUNCTION("""COMPUTED_VALUE"""),198.15)</f>
        <v>198.15</v>
      </c>
      <c r="F198" s="5">
        <f>IFERROR(__xludf.DUMMYFUNCTION("""COMPUTED_VALUE"""),8.7435915E7)</f>
        <v>87435915</v>
      </c>
    </row>
    <row r="199">
      <c r="A199" s="7">
        <f>IFERROR(__xludf.DUMMYFUNCTION("""COMPUTED_VALUE"""),45761.66666666667)</f>
        <v>45761.66667</v>
      </c>
      <c r="B199" s="5">
        <f>IFERROR(__xludf.DUMMYFUNCTION("""COMPUTED_VALUE"""),211.44)</f>
        <v>211.44</v>
      </c>
      <c r="C199" s="5">
        <f>IFERROR(__xludf.DUMMYFUNCTION("""COMPUTED_VALUE"""),212.94)</f>
        <v>212.94</v>
      </c>
      <c r="D199" s="5">
        <f>IFERROR(__xludf.DUMMYFUNCTION("""COMPUTED_VALUE"""),201.16)</f>
        <v>201.16</v>
      </c>
      <c r="E199" s="5">
        <f>IFERROR(__xludf.DUMMYFUNCTION("""COMPUTED_VALUE"""),202.52)</f>
        <v>202.52</v>
      </c>
      <c r="F199" s="5">
        <f>IFERROR(__xludf.DUMMYFUNCTION("""COMPUTED_VALUE"""),1.01352911E8)</f>
        <v>101352911</v>
      </c>
    </row>
    <row r="200">
      <c r="A200" s="7">
        <f>IFERROR(__xludf.DUMMYFUNCTION("""COMPUTED_VALUE"""),45762.66666666667)</f>
        <v>45762.66667</v>
      </c>
      <c r="B200" s="5">
        <f>IFERROR(__xludf.DUMMYFUNCTION("""COMPUTED_VALUE"""),201.86)</f>
        <v>201.86</v>
      </c>
      <c r="C200" s="5">
        <f>IFERROR(__xludf.DUMMYFUNCTION("""COMPUTED_VALUE"""),203.51)</f>
        <v>203.51</v>
      </c>
      <c r="D200" s="5">
        <f>IFERROR(__xludf.DUMMYFUNCTION("""COMPUTED_VALUE"""),199.8)</f>
        <v>199.8</v>
      </c>
      <c r="E200" s="5">
        <f>IFERROR(__xludf.DUMMYFUNCTION("""COMPUTED_VALUE"""),202.14)</f>
        <v>202.14</v>
      </c>
      <c r="F200" s="5">
        <f>IFERROR(__xludf.DUMMYFUNCTION("""COMPUTED_VALUE"""),5.1343872E7)</f>
        <v>51343872</v>
      </c>
    </row>
    <row r="201">
      <c r="A201" s="7">
        <f>IFERROR(__xludf.DUMMYFUNCTION("""COMPUTED_VALUE"""),45763.66666666667)</f>
        <v>45763.66667</v>
      </c>
      <c r="B201" s="5">
        <f>IFERROR(__xludf.DUMMYFUNCTION("""COMPUTED_VALUE"""),198.36)</f>
        <v>198.36</v>
      </c>
      <c r="C201" s="5">
        <f>IFERROR(__xludf.DUMMYFUNCTION("""COMPUTED_VALUE"""),200.7)</f>
        <v>200.7</v>
      </c>
      <c r="D201" s="5">
        <f>IFERROR(__xludf.DUMMYFUNCTION("""COMPUTED_VALUE"""),192.37)</f>
        <v>192.37</v>
      </c>
      <c r="E201" s="5">
        <f>IFERROR(__xludf.DUMMYFUNCTION("""COMPUTED_VALUE"""),194.27)</f>
        <v>194.27</v>
      </c>
      <c r="F201" s="5">
        <f>IFERROR(__xludf.DUMMYFUNCTION("""COMPUTED_VALUE"""),5.9732423E7)</f>
        <v>59732423</v>
      </c>
    </row>
    <row r="202">
      <c r="A202" s="7">
        <f>IFERROR(__xludf.DUMMYFUNCTION("""COMPUTED_VALUE"""),45764.66666666667)</f>
        <v>45764.66667</v>
      </c>
      <c r="B202" s="5">
        <f>IFERROR(__xludf.DUMMYFUNCTION("""COMPUTED_VALUE"""),197.2)</f>
        <v>197.2</v>
      </c>
      <c r="C202" s="5">
        <f>IFERROR(__xludf.DUMMYFUNCTION("""COMPUTED_VALUE"""),198.83)</f>
        <v>198.83</v>
      </c>
      <c r="D202" s="5">
        <f>IFERROR(__xludf.DUMMYFUNCTION("""COMPUTED_VALUE"""),194.42)</f>
        <v>194.42</v>
      </c>
      <c r="E202" s="5">
        <f>IFERROR(__xludf.DUMMYFUNCTION("""COMPUTED_VALUE"""),196.98)</f>
        <v>196.98</v>
      </c>
      <c r="F202" s="5">
        <f>IFERROR(__xludf.DUMMYFUNCTION("""COMPUTED_VALUE"""),5.2164675E7)</f>
        <v>52164675</v>
      </c>
    </row>
    <row r="203">
      <c r="A203" s="7">
        <f>IFERROR(__xludf.DUMMYFUNCTION("""COMPUTED_VALUE"""),45768.66666666667)</f>
        <v>45768.66667</v>
      </c>
      <c r="B203" s="5">
        <f>IFERROR(__xludf.DUMMYFUNCTION("""COMPUTED_VALUE"""),193.27)</f>
        <v>193.27</v>
      </c>
      <c r="C203" s="5">
        <f>IFERROR(__xludf.DUMMYFUNCTION("""COMPUTED_VALUE"""),193.8)</f>
        <v>193.8</v>
      </c>
      <c r="D203" s="5">
        <f>IFERROR(__xludf.DUMMYFUNCTION("""COMPUTED_VALUE"""),189.81)</f>
        <v>189.81</v>
      </c>
      <c r="E203" s="5">
        <f>IFERROR(__xludf.DUMMYFUNCTION("""COMPUTED_VALUE"""),193.16)</f>
        <v>193.16</v>
      </c>
      <c r="F203" s="5">
        <f>IFERROR(__xludf.DUMMYFUNCTION("""COMPUTED_VALUE"""),4.6742537E7)</f>
        <v>46742537</v>
      </c>
    </row>
    <row r="204">
      <c r="A204" s="7">
        <f>IFERROR(__xludf.DUMMYFUNCTION("""COMPUTED_VALUE"""),45769.66666666667)</f>
        <v>45769.66667</v>
      </c>
      <c r="B204" s="5">
        <f>IFERROR(__xludf.DUMMYFUNCTION("""COMPUTED_VALUE"""),196.12)</f>
        <v>196.12</v>
      </c>
      <c r="C204" s="5">
        <f>IFERROR(__xludf.DUMMYFUNCTION("""COMPUTED_VALUE"""),201.59)</f>
        <v>201.59</v>
      </c>
      <c r="D204" s="5">
        <f>IFERROR(__xludf.DUMMYFUNCTION("""COMPUTED_VALUE"""),195.97)</f>
        <v>195.97</v>
      </c>
      <c r="E204" s="5">
        <f>IFERROR(__xludf.DUMMYFUNCTION("""COMPUTED_VALUE"""),199.74)</f>
        <v>199.74</v>
      </c>
      <c r="F204" s="5">
        <f>IFERROR(__xludf.DUMMYFUNCTION("""COMPUTED_VALUE"""),5.2976371E7)</f>
        <v>52976371</v>
      </c>
    </row>
    <row r="205">
      <c r="A205" s="7">
        <f>IFERROR(__xludf.DUMMYFUNCTION("""COMPUTED_VALUE"""),45770.66666666667)</f>
        <v>45770.66667</v>
      </c>
      <c r="B205" s="5">
        <f>IFERROR(__xludf.DUMMYFUNCTION("""COMPUTED_VALUE"""),206.0)</f>
        <v>206</v>
      </c>
      <c r="C205" s="5">
        <f>IFERROR(__xludf.DUMMYFUNCTION("""COMPUTED_VALUE"""),208.0)</f>
        <v>208</v>
      </c>
      <c r="D205" s="5">
        <f>IFERROR(__xludf.DUMMYFUNCTION("""COMPUTED_VALUE"""),202.8)</f>
        <v>202.8</v>
      </c>
      <c r="E205" s="5">
        <f>IFERROR(__xludf.DUMMYFUNCTION("""COMPUTED_VALUE"""),204.6)</f>
        <v>204.6</v>
      </c>
      <c r="F205" s="5">
        <f>IFERROR(__xludf.DUMMYFUNCTION("""COMPUTED_VALUE"""),5.2929165E7)</f>
        <v>52929165</v>
      </c>
    </row>
    <row r="206">
      <c r="A206" s="7">
        <f>IFERROR(__xludf.DUMMYFUNCTION("""COMPUTED_VALUE"""),45771.66666666667)</f>
        <v>45771.66667</v>
      </c>
      <c r="B206" s="5">
        <f>IFERROR(__xludf.DUMMYFUNCTION("""COMPUTED_VALUE"""),204.89)</f>
        <v>204.89</v>
      </c>
      <c r="C206" s="5">
        <f>IFERROR(__xludf.DUMMYFUNCTION("""COMPUTED_VALUE"""),208.83)</f>
        <v>208.83</v>
      </c>
      <c r="D206" s="5">
        <f>IFERROR(__xludf.DUMMYFUNCTION("""COMPUTED_VALUE"""),202.94)</f>
        <v>202.94</v>
      </c>
      <c r="E206" s="5">
        <f>IFERROR(__xludf.DUMMYFUNCTION("""COMPUTED_VALUE"""),208.37)</f>
        <v>208.37</v>
      </c>
      <c r="F206" s="5">
        <f>IFERROR(__xludf.DUMMYFUNCTION("""COMPUTED_VALUE"""),4.7310989E7)</f>
        <v>47310989</v>
      </c>
    </row>
    <row r="207">
      <c r="A207" s="7">
        <f>IFERROR(__xludf.DUMMYFUNCTION("""COMPUTED_VALUE"""),45772.66666666667)</f>
        <v>45772.66667</v>
      </c>
      <c r="B207" s="5">
        <f>IFERROR(__xludf.DUMMYFUNCTION("""COMPUTED_VALUE"""),206.37)</f>
        <v>206.37</v>
      </c>
      <c r="C207" s="5">
        <f>IFERROR(__xludf.DUMMYFUNCTION("""COMPUTED_VALUE"""),209.75)</f>
        <v>209.75</v>
      </c>
      <c r="D207" s="5">
        <f>IFERROR(__xludf.DUMMYFUNCTION("""COMPUTED_VALUE"""),206.2)</f>
        <v>206.2</v>
      </c>
      <c r="E207" s="5">
        <f>IFERROR(__xludf.DUMMYFUNCTION("""COMPUTED_VALUE"""),209.28)</f>
        <v>209.28</v>
      </c>
      <c r="F207" s="5">
        <f>IFERROR(__xludf.DUMMYFUNCTION("""COMPUTED_VALUE"""),3.8222258E7)</f>
        <v>38222258</v>
      </c>
    </row>
    <row r="208">
      <c r="A208" s="7">
        <f>IFERROR(__xludf.DUMMYFUNCTION("""COMPUTED_VALUE"""),45775.66666666667)</f>
        <v>45775.66667</v>
      </c>
      <c r="B208" s="5">
        <f>IFERROR(__xludf.DUMMYFUNCTION("""COMPUTED_VALUE"""),210.0)</f>
        <v>210</v>
      </c>
      <c r="C208" s="5">
        <f>IFERROR(__xludf.DUMMYFUNCTION("""COMPUTED_VALUE"""),211.5)</f>
        <v>211.5</v>
      </c>
      <c r="D208" s="5">
        <f>IFERROR(__xludf.DUMMYFUNCTION("""COMPUTED_VALUE"""),207.46)</f>
        <v>207.46</v>
      </c>
      <c r="E208" s="5">
        <f>IFERROR(__xludf.DUMMYFUNCTION("""COMPUTED_VALUE"""),210.14)</f>
        <v>210.14</v>
      </c>
      <c r="F208" s="5">
        <f>IFERROR(__xludf.DUMMYFUNCTION("""COMPUTED_VALUE"""),3.8743074E7)</f>
        <v>38743074</v>
      </c>
    </row>
    <row r="209">
      <c r="A209" s="7">
        <f>IFERROR(__xludf.DUMMYFUNCTION("""COMPUTED_VALUE"""),45776.66666666667)</f>
        <v>45776.66667</v>
      </c>
      <c r="B209" s="5">
        <f>IFERROR(__xludf.DUMMYFUNCTION("""COMPUTED_VALUE"""),208.69)</f>
        <v>208.69</v>
      </c>
      <c r="C209" s="5">
        <f>IFERROR(__xludf.DUMMYFUNCTION("""COMPUTED_VALUE"""),212.24)</f>
        <v>212.24</v>
      </c>
      <c r="D209" s="5">
        <f>IFERROR(__xludf.DUMMYFUNCTION("""COMPUTED_VALUE"""),208.37)</f>
        <v>208.37</v>
      </c>
      <c r="E209" s="5">
        <f>IFERROR(__xludf.DUMMYFUNCTION("""COMPUTED_VALUE"""),211.21)</f>
        <v>211.21</v>
      </c>
      <c r="F209" s="5">
        <f>IFERROR(__xludf.DUMMYFUNCTION("""COMPUTED_VALUE"""),3.6827633E7)</f>
        <v>36827633</v>
      </c>
    </row>
    <row r="210">
      <c r="A210" s="7">
        <f>IFERROR(__xludf.DUMMYFUNCTION("""COMPUTED_VALUE"""),45777.66666666667)</f>
        <v>45777.66667</v>
      </c>
      <c r="B210" s="5">
        <f>IFERROR(__xludf.DUMMYFUNCTION("""COMPUTED_VALUE"""),209.3)</f>
        <v>209.3</v>
      </c>
      <c r="C210" s="5">
        <f>IFERROR(__xludf.DUMMYFUNCTION("""COMPUTED_VALUE"""),213.58)</f>
        <v>213.58</v>
      </c>
      <c r="D210" s="5">
        <f>IFERROR(__xludf.DUMMYFUNCTION("""COMPUTED_VALUE"""),206.67)</f>
        <v>206.67</v>
      </c>
      <c r="E210" s="5">
        <f>IFERROR(__xludf.DUMMYFUNCTION("""COMPUTED_VALUE"""),212.5)</f>
        <v>212.5</v>
      </c>
      <c r="F210" s="5">
        <f>IFERROR(__xludf.DUMMYFUNCTION("""COMPUTED_VALUE"""),5.2286454E7)</f>
        <v>52286454</v>
      </c>
    </row>
    <row r="211">
      <c r="A211" s="7">
        <f>IFERROR(__xludf.DUMMYFUNCTION("""COMPUTED_VALUE"""),45778.66666666667)</f>
        <v>45778.66667</v>
      </c>
      <c r="B211" s="5">
        <f>IFERROR(__xludf.DUMMYFUNCTION("""COMPUTED_VALUE"""),209.08)</f>
        <v>209.08</v>
      </c>
      <c r="C211" s="5">
        <f>IFERROR(__xludf.DUMMYFUNCTION("""COMPUTED_VALUE"""),214.56)</f>
        <v>214.56</v>
      </c>
      <c r="D211" s="5">
        <f>IFERROR(__xludf.DUMMYFUNCTION("""COMPUTED_VALUE"""),208.9)</f>
        <v>208.9</v>
      </c>
      <c r="E211" s="5">
        <f>IFERROR(__xludf.DUMMYFUNCTION("""COMPUTED_VALUE"""),213.32)</f>
        <v>213.32</v>
      </c>
      <c r="F211" s="5">
        <f>IFERROR(__xludf.DUMMYFUNCTION("""COMPUTED_VALUE"""),5.7365675E7)</f>
        <v>57365675</v>
      </c>
    </row>
    <row r="212">
      <c r="A212" s="7">
        <f>IFERROR(__xludf.DUMMYFUNCTION("""COMPUTED_VALUE"""),45779.66666666667)</f>
        <v>45779.66667</v>
      </c>
      <c r="B212" s="5">
        <f>IFERROR(__xludf.DUMMYFUNCTION("""COMPUTED_VALUE"""),206.09)</f>
        <v>206.09</v>
      </c>
      <c r="C212" s="5">
        <f>IFERROR(__xludf.DUMMYFUNCTION("""COMPUTED_VALUE"""),206.99)</f>
        <v>206.99</v>
      </c>
      <c r="D212" s="5">
        <f>IFERROR(__xludf.DUMMYFUNCTION("""COMPUTED_VALUE"""),202.16)</f>
        <v>202.16</v>
      </c>
      <c r="E212" s="5">
        <f>IFERROR(__xludf.DUMMYFUNCTION("""COMPUTED_VALUE"""),205.35)</f>
        <v>205.35</v>
      </c>
      <c r="F212" s="5">
        <f>IFERROR(__xludf.DUMMYFUNCTION("""COMPUTED_VALUE"""),1.01010621E8)</f>
        <v>101010621</v>
      </c>
    </row>
    <row r="213">
      <c r="A213" s="7">
        <f>IFERROR(__xludf.DUMMYFUNCTION("""COMPUTED_VALUE"""),45782.66666666667)</f>
        <v>45782.66667</v>
      </c>
      <c r="B213" s="5">
        <f>IFERROR(__xludf.DUMMYFUNCTION("""COMPUTED_VALUE"""),203.1)</f>
        <v>203.1</v>
      </c>
      <c r="C213" s="5">
        <f>IFERROR(__xludf.DUMMYFUNCTION("""COMPUTED_VALUE"""),204.1)</f>
        <v>204.1</v>
      </c>
      <c r="D213" s="5">
        <f>IFERROR(__xludf.DUMMYFUNCTION("""COMPUTED_VALUE"""),198.21)</f>
        <v>198.21</v>
      </c>
      <c r="E213" s="5">
        <f>IFERROR(__xludf.DUMMYFUNCTION("""COMPUTED_VALUE"""),198.89)</f>
        <v>198.89</v>
      </c>
      <c r="F213" s="5">
        <f>IFERROR(__xludf.DUMMYFUNCTION("""COMPUTED_VALUE"""),6.9018452E7)</f>
        <v>69018452</v>
      </c>
    </row>
    <row r="214">
      <c r="A214" s="7">
        <f>IFERROR(__xludf.DUMMYFUNCTION("""COMPUTED_VALUE"""),45783.66666666667)</f>
        <v>45783.66667</v>
      </c>
      <c r="B214" s="5">
        <f>IFERROR(__xludf.DUMMYFUNCTION("""COMPUTED_VALUE"""),198.21)</f>
        <v>198.21</v>
      </c>
      <c r="C214" s="5">
        <f>IFERROR(__xludf.DUMMYFUNCTION("""COMPUTED_VALUE"""),200.65)</f>
        <v>200.65</v>
      </c>
      <c r="D214" s="5">
        <f>IFERROR(__xludf.DUMMYFUNCTION("""COMPUTED_VALUE"""),197.02)</f>
        <v>197.02</v>
      </c>
      <c r="E214" s="5">
        <f>IFERROR(__xludf.DUMMYFUNCTION("""COMPUTED_VALUE"""),198.51)</f>
        <v>198.51</v>
      </c>
      <c r="F214" s="5">
        <f>IFERROR(__xludf.DUMMYFUNCTION("""COMPUTED_VALUE"""),5.1216482E7)</f>
        <v>51216482</v>
      </c>
    </row>
    <row r="215">
      <c r="A215" s="7">
        <f>IFERROR(__xludf.DUMMYFUNCTION("""COMPUTED_VALUE"""),45784.66666666667)</f>
        <v>45784.66667</v>
      </c>
      <c r="B215" s="5">
        <f>IFERROR(__xludf.DUMMYFUNCTION("""COMPUTED_VALUE"""),199.17)</f>
        <v>199.17</v>
      </c>
      <c r="C215" s="5">
        <f>IFERROR(__xludf.DUMMYFUNCTION("""COMPUTED_VALUE"""),199.44)</f>
        <v>199.44</v>
      </c>
      <c r="D215" s="5">
        <f>IFERROR(__xludf.DUMMYFUNCTION("""COMPUTED_VALUE"""),193.25)</f>
        <v>193.25</v>
      </c>
      <c r="E215" s="5">
        <f>IFERROR(__xludf.DUMMYFUNCTION("""COMPUTED_VALUE"""),196.25)</f>
        <v>196.25</v>
      </c>
      <c r="F215" s="5">
        <f>IFERROR(__xludf.DUMMYFUNCTION("""COMPUTED_VALUE"""),6.8616943E7)</f>
        <v>68616943</v>
      </c>
    </row>
    <row r="216">
      <c r="A216" s="7">
        <f>IFERROR(__xludf.DUMMYFUNCTION("""COMPUTED_VALUE"""),45785.66666666667)</f>
        <v>45785.66667</v>
      </c>
      <c r="B216" s="5">
        <f>IFERROR(__xludf.DUMMYFUNCTION("""COMPUTED_VALUE"""),197.72)</f>
        <v>197.72</v>
      </c>
      <c r="C216" s="5">
        <f>IFERROR(__xludf.DUMMYFUNCTION("""COMPUTED_VALUE"""),200.05)</f>
        <v>200.05</v>
      </c>
      <c r="D216" s="5">
        <f>IFERROR(__xludf.DUMMYFUNCTION("""COMPUTED_VALUE"""),194.68)</f>
        <v>194.68</v>
      </c>
      <c r="E216" s="5">
        <f>IFERROR(__xludf.DUMMYFUNCTION("""COMPUTED_VALUE"""),197.49)</f>
        <v>197.49</v>
      </c>
      <c r="F216" s="5">
        <f>IFERROR(__xludf.DUMMYFUNCTION("""COMPUTED_VALUE"""),5.0478872E7)</f>
        <v>50478872</v>
      </c>
    </row>
    <row r="217">
      <c r="A217" s="7">
        <f>IFERROR(__xludf.DUMMYFUNCTION("""COMPUTED_VALUE"""),45786.66666666667)</f>
        <v>45786.66667</v>
      </c>
      <c r="B217" s="5">
        <f>IFERROR(__xludf.DUMMYFUNCTION("""COMPUTED_VALUE"""),199.0)</f>
        <v>199</v>
      </c>
      <c r="C217" s="5">
        <f>IFERROR(__xludf.DUMMYFUNCTION("""COMPUTED_VALUE"""),200.54)</f>
        <v>200.54</v>
      </c>
      <c r="D217" s="5">
        <f>IFERROR(__xludf.DUMMYFUNCTION("""COMPUTED_VALUE"""),197.54)</f>
        <v>197.54</v>
      </c>
      <c r="E217" s="5">
        <f>IFERROR(__xludf.DUMMYFUNCTION("""COMPUTED_VALUE"""),198.53)</f>
        <v>198.53</v>
      </c>
      <c r="F217" s="5">
        <f>IFERROR(__xludf.DUMMYFUNCTION("""COMPUTED_VALUE"""),3.6453923E7)</f>
        <v>36453923</v>
      </c>
    </row>
    <row r="218">
      <c r="A218" s="7">
        <f>IFERROR(__xludf.DUMMYFUNCTION("""COMPUTED_VALUE"""),45789.66666666667)</f>
        <v>45789.66667</v>
      </c>
      <c r="B218" s="5">
        <f>IFERROR(__xludf.DUMMYFUNCTION("""COMPUTED_VALUE"""),210.97)</f>
        <v>210.97</v>
      </c>
      <c r="C218" s="5">
        <f>IFERROR(__xludf.DUMMYFUNCTION("""COMPUTED_VALUE"""),211.27)</f>
        <v>211.27</v>
      </c>
      <c r="D218" s="5">
        <f>IFERROR(__xludf.DUMMYFUNCTION("""COMPUTED_VALUE"""),206.75)</f>
        <v>206.75</v>
      </c>
      <c r="E218" s="5">
        <f>IFERROR(__xludf.DUMMYFUNCTION("""COMPUTED_VALUE"""),210.79)</f>
        <v>210.79</v>
      </c>
      <c r="F218" s="5">
        <f>IFERROR(__xludf.DUMMYFUNCTION("""COMPUTED_VALUE"""),6.3775814E7)</f>
        <v>63775814</v>
      </c>
    </row>
    <row r="219">
      <c r="A219" s="7">
        <f>IFERROR(__xludf.DUMMYFUNCTION("""COMPUTED_VALUE"""),45790.66666666667)</f>
        <v>45790.66667</v>
      </c>
      <c r="B219" s="5">
        <f>IFERROR(__xludf.DUMMYFUNCTION("""COMPUTED_VALUE"""),210.43)</f>
        <v>210.43</v>
      </c>
      <c r="C219" s="5">
        <f>IFERROR(__xludf.DUMMYFUNCTION("""COMPUTED_VALUE"""),213.4)</f>
        <v>213.4</v>
      </c>
      <c r="D219" s="5">
        <f>IFERROR(__xludf.DUMMYFUNCTION("""COMPUTED_VALUE"""),209.0)</f>
        <v>209</v>
      </c>
      <c r="E219" s="5">
        <f>IFERROR(__xludf.DUMMYFUNCTION("""COMPUTED_VALUE"""),212.93)</f>
        <v>212.93</v>
      </c>
      <c r="F219" s="5">
        <f>IFERROR(__xludf.DUMMYFUNCTION("""COMPUTED_VALUE"""),5.1909332E7)</f>
        <v>51909332</v>
      </c>
    </row>
    <row r="220">
      <c r="A220" s="7">
        <f>IFERROR(__xludf.DUMMYFUNCTION("""COMPUTED_VALUE"""),45791.66666666667)</f>
        <v>45791.66667</v>
      </c>
      <c r="B220" s="5">
        <f>IFERROR(__xludf.DUMMYFUNCTION("""COMPUTED_VALUE"""),212.43)</f>
        <v>212.43</v>
      </c>
      <c r="C220" s="5">
        <f>IFERROR(__xludf.DUMMYFUNCTION("""COMPUTED_VALUE"""),213.94)</f>
        <v>213.94</v>
      </c>
      <c r="D220" s="5">
        <f>IFERROR(__xludf.DUMMYFUNCTION("""COMPUTED_VALUE"""),210.58)</f>
        <v>210.58</v>
      </c>
      <c r="E220" s="5">
        <f>IFERROR(__xludf.DUMMYFUNCTION("""COMPUTED_VALUE"""),212.33)</f>
        <v>212.33</v>
      </c>
      <c r="F220" s="5">
        <f>IFERROR(__xludf.DUMMYFUNCTION("""COMPUTED_VALUE"""),4.9325825E7)</f>
        <v>49325825</v>
      </c>
    </row>
    <row r="221">
      <c r="A221" s="7">
        <f>IFERROR(__xludf.DUMMYFUNCTION("""COMPUTED_VALUE"""),45792.66666666667)</f>
        <v>45792.66667</v>
      </c>
      <c r="B221" s="5">
        <f>IFERROR(__xludf.DUMMYFUNCTION("""COMPUTED_VALUE"""),210.95)</f>
        <v>210.95</v>
      </c>
      <c r="C221" s="5">
        <f>IFERROR(__xludf.DUMMYFUNCTION("""COMPUTED_VALUE"""),212.96)</f>
        <v>212.96</v>
      </c>
      <c r="D221" s="5">
        <f>IFERROR(__xludf.DUMMYFUNCTION("""COMPUTED_VALUE"""),209.54)</f>
        <v>209.54</v>
      </c>
      <c r="E221" s="5">
        <f>IFERROR(__xludf.DUMMYFUNCTION("""COMPUTED_VALUE"""),211.45)</f>
        <v>211.45</v>
      </c>
      <c r="F221" s="5">
        <f>IFERROR(__xludf.DUMMYFUNCTION("""COMPUTED_VALUE"""),4.5029473E7)</f>
        <v>45029473</v>
      </c>
    </row>
    <row r="222">
      <c r="A222" s="7">
        <f>IFERROR(__xludf.DUMMYFUNCTION("""COMPUTED_VALUE"""),45793.66666666667)</f>
        <v>45793.66667</v>
      </c>
      <c r="B222" s="5">
        <f>IFERROR(__xludf.DUMMYFUNCTION("""COMPUTED_VALUE"""),212.36)</f>
        <v>212.36</v>
      </c>
      <c r="C222" s="5">
        <f>IFERROR(__xludf.DUMMYFUNCTION("""COMPUTED_VALUE"""),212.57)</f>
        <v>212.57</v>
      </c>
      <c r="D222" s="5">
        <f>IFERROR(__xludf.DUMMYFUNCTION("""COMPUTED_VALUE"""),209.77)</f>
        <v>209.77</v>
      </c>
      <c r="E222" s="5">
        <f>IFERROR(__xludf.DUMMYFUNCTION("""COMPUTED_VALUE"""),211.26)</f>
        <v>211.26</v>
      </c>
      <c r="F222" s="5">
        <f>IFERROR(__xludf.DUMMYFUNCTION("""COMPUTED_VALUE"""),5.473785E7)</f>
        <v>54737850</v>
      </c>
    </row>
    <row r="223">
      <c r="A223" s="7">
        <f>IFERROR(__xludf.DUMMYFUNCTION("""COMPUTED_VALUE"""),45796.66666666667)</f>
        <v>45796.66667</v>
      </c>
      <c r="B223" s="5">
        <f>IFERROR(__xludf.DUMMYFUNCTION("""COMPUTED_VALUE"""),207.91)</f>
        <v>207.91</v>
      </c>
      <c r="C223" s="5">
        <f>IFERROR(__xludf.DUMMYFUNCTION("""COMPUTED_VALUE"""),209.48)</f>
        <v>209.48</v>
      </c>
      <c r="D223" s="5">
        <f>IFERROR(__xludf.DUMMYFUNCTION("""COMPUTED_VALUE"""),204.26)</f>
        <v>204.26</v>
      </c>
      <c r="E223" s="5">
        <f>IFERROR(__xludf.DUMMYFUNCTION("""COMPUTED_VALUE"""),208.78)</f>
        <v>208.78</v>
      </c>
      <c r="F223" s="5">
        <f>IFERROR(__xludf.DUMMYFUNCTION("""COMPUTED_VALUE"""),4.6140527E7)</f>
        <v>46140527</v>
      </c>
    </row>
    <row r="224">
      <c r="A224" s="7">
        <f>IFERROR(__xludf.DUMMYFUNCTION("""COMPUTED_VALUE"""),45797.66666666667)</f>
        <v>45797.66667</v>
      </c>
      <c r="B224" s="5">
        <f>IFERROR(__xludf.DUMMYFUNCTION("""COMPUTED_VALUE"""),207.67)</f>
        <v>207.67</v>
      </c>
      <c r="C224" s="5">
        <f>IFERROR(__xludf.DUMMYFUNCTION("""COMPUTED_VALUE"""),208.47)</f>
        <v>208.47</v>
      </c>
      <c r="D224" s="5">
        <f>IFERROR(__xludf.DUMMYFUNCTION("""COMPUTED_VALUE"""),205.03)</f>
        <v>205.03</v>
      </c>
      <c r="E224" s="5">
        <f>IFERROR(__xludf.DUMMYFUNCTION("""COMPUTED_VALUE"""),206.86)</f>
        <v>206.86</v>
      </c>
      <c r="F224" s="5">
        <f>IFERROR(__xludf.DUMMYFUNCTION("""COMPUTED_VALUE"""),4.2496635E7)</f>
        <v>42496635</v>
      </c>
    </row>
    <row r="225">
      <c r="A225" s="7">
        <f>IFERROR(__xludf.DUMMYFUNCTION("""COMPUTED_VALUE"""),45798.66666666667)</f>
        <v>45798.66667</v>
      </c>
      <c r="B225" s="5">
        <f>IFERROR(__xludf.DUMMYFUNCTION("""COMPUTED_VALUE"""),205.17)</f>
        <v>205.17</v>
      </c>
      <c r="C225" s="5">
        <f>IFERROR(__xludf.DUMMYFUNCTION("""COMPUTED_VALUE"""),207.04)</f>
        <v>207.04</v>
      </c>
      <c r="D225" s="5">
        <f>IFERROR(__xludf.DUMMYFUNCTION("""COMPUTED_VALUE"""),200.71)</f>
        <v>200.71</v>
      </c>
      <c r="E225" s="5">
        <f>IFERROR(__xludf.DUMMYFUNCTION("""COMPUTED_VALUE"""),202.09)</f>
        <v>202.09</v>
      </c>
      <c r="F225" s="5">
        <f>IFERROR(__xludf.DUMMYFUNCTION("""COMPUTED_VALUE"""),5.9211774E7)</f>
        <v>59211774</v>
      </c>
    </row>
    <row r="226">
      <c r="A226" s="7">
        <f>IFERROR(__xludf.DUMMYFUNCTION("""COMPUTED_VALUE"""),45799.66666666667)</f>
        <v>45799.66667</v>
      </c>
      <c r="B226" s="5">
        <f>IFERROR(__xludf.DUMMYFUNCTION("""COMPUTED_VALUE"""),205.17)</f>
        <v>205.17</v>
      </c>
      <c r="C226" s="5">
        <f>IFERROR(__xludf.DUMMYFUNCTION("""COMPUTED_VALUE"""),207.04)</f>
        <v>207.04</v>
      </c>
      <c r="D226" s="5">
        <f>IFERROR(__xludf.DUMMYFUNCTION("""COMPUTED_VALUE"""),200.71)</f>
        <v>200.71</v>
      </c>
      <c r="E226" s="5">
        <f>IFERROR(__xludf.DUMMYFUNCTION("""COMPUTED_VALUE"""),202.09)</f>
        <v>202.09</v>
      </c>
      <c r="F226" s="5">
        <f>IFERROR(__xludf.DUMMYFUNCTION("""COMPUTED_VALUE"""),1536434.0)</f>
        <v>1536434</v>
      </c>
    </row>
    <row r="227">
      <c r="A227" s="7">
        <f>IFERROR(__xludf.DUMMYFUNCTION("""COMPUTED_VALUE"""),45800.66666666667)</f>
        <v>45800.66667</v>
      </c>
      <c r="B227" s="5">
        <f>IFERROR(__xludf.DUMMYFUNCTION("""COMPUTED_VALUE"""),193.67)</f>
        <v>193.67</v>
      </c>
      <c r="C227" s="5">
        <f>IFERROR(__xludf.DUMMYFUNCTION("""COMPUTED_VALUE"""),197.7)</f>
        <v>197.7</v>
      </c>
      <c r="D227" s="5">
        <f>IFERROR(__xludf.DUMMYFUNCTION("""COMPUTED_VALUE"""),193.46)</f>
        <v>193.46</v>
      </c>
      <c r="E227" s="5">
        <f>IFERROR(__xludf.DUMMYFUNCTION("""COMPUTED_VALUE"""),195.27)</f>
        <v>195.27</v>
      </c>
      <c r="F227" s="5">
        <f>IFERROR(__xludf.DUMMYFUNCTION("""COMPUTED_VALUE"""),7.8432918E7)</f>
        <v>78432918</v>
      </c>
    </row>
    <row r="228">
      <c r="A228" s="7">
        <f>IFERROR(__xludf.DUMMYFUNCTION("""COMPUTED_VALUE"""),45804.66666666667)</f>
        <v>45804.66667</v>
      </c>
      <c r="B228" s="5">
        <f>IFERROR(__xludf.DUMMYFUNCTION("""COMPUTED_VALUE"""),198.3)</f>
        <v>198.3</v>
      </c>
      <c r="C228" s="5">
        <f>IFERROR(__xludf.DUMMYFUNCTION("""COMPUTED_VALUE"""),200.74)</f>
        <v>200.74</v>
      </c>
      <c r="D228" s="5">
        <f>IFERROR(__xludf.DUMMYFUNCTION("""COMPUTED_VALUE"""),197.43)</f>
        <v>197.43</v>
      </c>
      <c r="E228" s="5">
        <f>IFERROR(__xludf.DUMMYFUNCTION("""COMPUTED_VALUE"""),200.21)</f>
        <v>200.21</v>
      </c>
      <c r="F228" s="5">
        <f>IFERROR(__xludf.DUMMYFUNCTION("""COMPUTED_VALUE"""),5.6288475E7)</f>
        <v>56288475</v>
      </c>
    </row>
    <row r="229">
      <c r="A229" s="7">
        <f>IFERROR(__xludf.DUMMYFUNCTION("""COMPUTED_VALUE"""),45805.66666666667)</f>
        <v>45805.66667</v>
      </c>
      <c r="B229" s="5">
        <f>IFERROR(__xludf.DUMMYFUNCTION("""COMPUTED_VALUE"""),200.59)</f>
        <v>200.59</v>
      </c>
      <c r="C229" s="5">
        <f>IFERROR(__xludf.DUMMYFUNCTION("""COMPUTED_VALUE"""),202.73)</f>
        <v>202.73</v>
      </c>
      <c r="D229" s="5">
        <f>IFERROR(__xludf.DUMMYFUNCTION("""COMPUTED_VALUE"""),199.9)</f>
        <v>199.9</v>
      </c>
      <c r="E229" s="5">
        <f>IFERROR(__xludf.DUMMYFUNCTION("""COMPUTED_VALUE"""),200.42)</f>
        <v>200.42</v>
      </c>
      <c r="F229" s="5">
        <f>IFERROR(__xludf.DUMMYFUNCTION("""COMPUTED_VALUE"""),4.5339678E7)</f>
        <v>45339678</v>
      </c>
    </row>
    <row r="230">
      <c r="A230" s="7">
        <f>IFERROR(__xludf.DUMMYFUNCTION("""COMPUTED_VALUE"""),45806.66666666667)</f>
        <v>45806.66667</v>
      </c>
      <c r="B230" s="5">
        <f>IFERROR(__xludf.DUMMYFUNCTION("""COMPUTED_VALUE"""),203.58)</f>
        <v>203.58</v>
      </c>
      <c r="C230" s="5">
        <f>IFERROR(__xludf.DUMMYFUNCTION("""COMPUTED_VALUE"""),203.81)</f>
        <v>203.81</v>
      </c>
      <c r="D230" s="5">
        <f>IFERROR(__xludf.DUMMYFUNCTION("""COMPUTED_VALUE"""),198.51)</f>
        <v>198.51</v>
      </c>
      <c r="E230" s="5">
        <f>IFERROR(__xludf.DUMMYFUNCTION("""COMPUTED_VALUE"""),199.95)</f>
        <v>199.95</v>
      </c>
      <c r="F230" s="5">
        <f>IFERROR(__xludf.DUMMYFUNCTION("""COMPUTED_VALUE"""),5.1477938E7)</f>
        <v>51477938</v>
      </c>
    </row>
    <row r="231">
      <c r="A231" s="7">
        <f>IFERROR(__xludf.DUMMYFUNCTION("""COMPUTED_VALUE"""),45807.66666666667)</f>
        <v>45807.66667</v>
      </c>
      <c r="B231" s="5">
        <f>IFERROR(__xludf.DUMMYFUNCTION("""COMPUTED_VALUE"""),199.37)</f>
        <v>199.37</v>
      </c>
      <c r="C231" s="5">
        <f>IFERROR(__xludf.DUMMYFUNCTION("""COMPUTED_VALUE"""),201.96)</f>
        <v>201.96</v>
      </c>
      <c r="D231" s="5">
        <f>IFERROR(__xludf.DUMMYFUNCTION("""COMPUTED_VALUE"""),196.78)</f>
        <v>196.78</v>
      </c>
      <c r="E231" s="5">
        <f>IFERROR(__xludf.DUMMYFUNCTION("""COMPUTED_VALUE"""),200.85)</f>
        <v>200.85</v>
      </c>
      <c r="F231" s="5">
        <f>IFERROR(__xludf.DUMMYFUNCTION("""COMPUTED_VALUE"""),7.0819942E7)</f>
        <v>70819942</v>
      </c>
    </row>
    <row r="232">
      <c r="A232" s="7">
        <f>IFERROR(__xludf.DUMMYFUNCTION("""COMPUTED_VALUE"""),45810.66666666667)</f>
        <v>45810.66667</v>
      </c>
      <c r="B232" s="5">
        <f>IFERROR(__xludf.DUMMYFUNCTION("""COMPUTED_VALUE"""),200.28)</f>
        <v>200.28</v>
      </c>
      <c r="C232" s="5">
        <f>IFERROR(__xludf.DUMMYFUNCTION("""COMPUTED_VALUE"""),202.13)</f>
        <v>202.13</v>
      </c>
      <c r="D232" s="5">
        <f>IFERROR(__xludf.DUMMYFUNCTION("""COMPUTED_VALUE"""),200.12)</f>
        <v>200.12</v>
      </c>
      <c r="E232" s="5">
        <f>IFERROR(__xludf.DUMMYFUNCTION("""COMPUTED_VALUE"""),201.7)</f>
        <v>201.7</v>
      </c>
      <c r="F232" s="5">
        <f>IFERROR(__xludf.DUMMYFUNCTION("""COMPUTED_VALUE"""),3.5423294E7)</f>
        <v>35423294</v>
      </c>
    </row>
    <row r="233">
      <c r="A233" s="7">
        <f>IFERROR(__xludf.DUMMYFUNCTION("""COMPUTED_VALUE"""),45811.66666666667)</f>
        <v>45811.66667</v>
      </c>
      <c r="B233" s="5">
        <f>IFERROR(__xludf.DUMMYFUNCTION("""COMPUTED_VALUE"""),201.35)</f>
        <v>201.35</v>
      </c>
      <c r="C233" s="5">
        <f>IFERROR(__xludf.DUMMYFUNCTION("""COMPUTED_VALUE"""),203.77)</f>
        <v>203.77</v>
      </c>
      <c r="D233" s="5">
        <f>IFERROR(__xludf.DUMMYFUNCTION("""COMPUTED_VALUE"""),200.96)</f>
        <v>200.96</v>
      </c>
      <c r="E233" s="5">
        <f>IFERROR(__xludf.DUMMYFUNCTION("""COMPUTED_VALUE"""),203.27)</f>
        <v>203.27</v>
      </c>
      <c r="F233" s="5">
        <f>IFERROR(__xludf.DUMMYFUNCTION("""COMPUTED_VALUE"""),4.6381567E7)</f>
        <v>46381567</v>
      </c>
    </row>
    <row r="234">
      <c r="A234" s="7">
        <f>IFERROR(__xludf.DUMMYFUNCTION("""COMPUTED_VALUE"""),45812.66666666667)</f>
        <v>45812.66667</v>
      </c>
      <c r="B234" s="5">
        <f>IFERROR(__xludf.DUMMYFUNCTION("""COMPUTED_VALUE"""),202.91)</f>
        <v>202.91</v>
      </c>
      <c r="C234" s="5">
        <f>IFERROR(__xludf.DUMMYFUNCTION("""COMPUTED_VALUE"""),206.24)</f>
        <v>206.24</v>
      </c>
      <c r="D234" s="5">
        <f>IFERROR(__xludf.DUMMYFUNCTION("""COMPUTED_VALUE"""),202.1)</f>
        <v>202.1</v>
      </c>
      <c r="E234" s="5">
        <f>IFERROR(__xludf.DUMMYFUNCTION("""COMPUTED_VALUE"""),202.82)</f>
        <v>202.82</v>
      </c>
      <c r="F234" s="5">
        <f>IFERROR(__xludf.DUMMYFUNCTION("""COMPUTED_VALUE"""),4.3603985E7)</f>
        <v>43603985</v>
      </c>
    </row>
    <row r="235">
      <c r="A235" s="7">
        <f>IFERROR(__xludf.DUMMYFUNCTION("""COMPUTED_VALUE"""),45813.66666666667)</f>
        <v>45813.66667</v>
      </c>
      <c r="B235" s="5">
        <f>IFERROR(__xludf.DUMMYFUNCTION("""COMPUTED_VALUE"""),203.5)</f>
        <v>203.5</v>
      </c>
      <c r="C235" s="5">
        <f>IFERROR(__xludf.DUMMYFUNCTION("""COMPUTED_VALUE"""),204.75)</f>
        <v>204.75</v>
      </c>
      <c r="D235" s="5">
        <f>IFERROR(__xludf.DUMMYFUNCTION("""COMPUTED_VALUE"""),200.15)</f>
        <v>200.15</v>
      </c>
      <c r="E235" s="5">
        <f>IFERROR(__xludf.DUMMYFUNCTION("""COMPUTED_VALUE"""),200.63)</f>
        <v>200.63</v>
      </c>
      <c r="F235" s="5">
        <f>IFERROR(__xludf.DUMMYFUNCTION("""COMPUTED_VALUE"""),5.5221235E7)</f>
        <v>55221235</v>
      </c>
    </row>
    <row r="236">
      <c r="A236" s="7">
        <f>IFERROR(__xludf.DUMMYFUNCTION("""COMPUTED_VALUE"""),45814.66666666667)</f>
        <v>45814.66667</v>
      </c>
      <c r="B236" s="5">
        <f>IFERROR(__xludf.DUMMYFUNCTION("""COMPUTED_VALUE"""),203.0)</f>
        <v>203</v>
      </c>
      <c r="C236" s="5">
        <f>IFERROR(__xludf.DUMMYFUNCTION("""COMPUTED_VALUE"""),205.7)</f>
        <v>205.7</v>
      </c>
      <c r="D236" s="5">
        <f>IFERROR(__xludf.DUMMYFUNCTION("""COMPUTED_VALUE"""),202.05)</f>
        <v>202.05</v>
      </c>
      <c r="E236" s="5">
        <f>IFERROR(__xludf.DUMMYFUNCTION("""COMPUTED_VALUE"""),203.92)</f>
        <v>203.92</v>
      </c>
      <c r="F236" s="5">
        <f>IFERROR(__xludf.DUMMYFUNCTION("""COMPUTED_VALUE"""),4.6607693E7)</f>
        <v>46607693</v>
      </c>
    </row>
    <row r="237">
      <c r="A237" s="7">
        <f>IFERROR(__xludf.DUMMYFUNCTION("""COMPUTED_VALUE"""),45817.66666666667)</f>
        <v>45817.66667</v>
      </c>
      <c r="B237" s="5">
        <f>IFERROR(__xludf.DUMMYFUNCTION("""COMPUTED_VALUE"""),204.39)</f>
        <v>204.39</v>
      </c>
      <c r="C237" s="5">
        <f>IFERROR(__xludf.DUMMYFUNCTION("""COMPUTED_VALUE"""),206.0)</f>
        <v>206</v>
      </c>
      <c r="D237" s="5">
        <f>IFERROR(__xludf.DUMMYFUNCTION("""COMPUTED_VALUE"""),200.02)</f>
        <v>200.02</v>
      </c>
      <c r="E237" s="5">
        <f>IFERROR(__xludf.DUMMYFUNCTION("""COMPUTED_VALUE"""),201.45)</f>
        <v>201.45</v>
      </c>
      <c r="F237" s="5">
        <f>IFERROR(__xludf.DUMMYFUNCTION("""COMPUTED_VALUE"""),7.2862557E7)</f>
        <v>72862557</v>
      </c>
    </row>
    <row r="238">
      <c r="A238" s="7">
        <f>IFERROR(__xludf.DUMMYFUNCTION("""COMPUTED_VALUE"""),45818.66666666667)</f>
        <v>45818.66667</v>
      </c>
      <c r="B238" s="5">
        <f>IFERROR(__xludf.DUMMYFUNCTION("""COMPUTED_VALUE"""),200.6)</f>
        <v>200.6</v>
      </c>
      <c r="C238" s="5">
        <f>IFERROR(__xludf.DUMMYFUNCTION("""COMPUTED_VALUE"""),204.35)</f>
        <v>204.35</v>
      </c>
      <c r="D238" s="5">
        <f>IFERROR(__xludf.DUMMYFUNCTION("""COMPUTED_VALUE"""),200.57)</f>
        <v>200.57</v>
      </c>
      <c r="E238" s="5">
        <f>IFERROR(__xludf.DUMMYFUNCTION("""COMPUTED_VALUE"""),202.67)</f>
        <v>202.67</v>
      </c>
      <c r="F238" s="5">
        <f>IFERROR(__xludf.DUMMYFUNCTION("""COMPUTED_VALUE"""),5.4672608E7)</f>
        <v>54672608</v>
      </c>
    </row>
    <row r="239">
      <c r="A239" s="7">
        <f>IFERROR(__xludf.DUMMYFUNCTION("""COMPUTED_VALUE"""),45819.66666666667)</f>
        <v>45819.66667</v>
      </c>
      <c r="B239" s="5">
        <f>IFERROR(__xludf.DUMMYFUNCTION("""COMPUTED_VALUE"""),203.5)</f>
        <v>203.5</v>
      </c>
      <c r="C239" s="5">
        <f>IFERROR(__xludf.DUMMYFUNCTION("""COMPUTED_VALUE"""),204.5)</f>
        <v>204.5</v>
      </c>
      <c r="D239" s="5">
        <f>IFERROR(__xludf.DUMMYFUNCTION("""COMPUTED_VALUE"""),198.41)</f>
        <v>198.41</v>
      </c>
      <c r="E239" s="5">
        <f>IFERROR(__xludf.DUMMYFUNCTION("""COMPUTED_VALUE"""),198.78)</f>
        <v>198.78</v>
      </c>
      <c r="F239" s="5">
        <f>IFERROR(__xludf.DUMMYFUNCTION("""COMPUTED_VALUE"""),6.0989857E7)</f>
        <v>60989857</v>
      </c>
    </row>
    <row r="240">
      <c r="A240" s="7">
        <f>IFERROR(__xludf.DUMMYFUNCTION("""COMPUTED_VALUE"""),45820.66666666667)</f>
        <v>45820.66667</v>
      </c>
      <c r="B240" s="5">
        <f>IFERROR(__xludf.DUMMYFUNCTION("""COMPUTED_VALUE"""),199.08)</f>
        <v>199.08</v>
      </c>
      <c r="C240" s="5">
        <f>IFERROR(__xludf.DUMMYFUNCTION("""COMPUTED_VALUE"""),199.68)</f>
        <v>199.68</v>
      </c>
      <c r="D240" s="5">
        <f>IFERROR(__xludf.DUMMYFUNCTION("""COMPUTED_VALUE"""),197.36)</f>
        <v>197.36</v>
      </c>
      <c r="E240" s="5">
        <f>IFERROR(__xludf.DUMMYFUNCTION("""COMPUTED_VALUE"""),199.2)</f>
        <v>199.2</v>
      </c>
      <c r="F240" s="5">
        <f>IFERROR(__xludf.DUMMYFUNCTION("""COMPUTED_VALUE"""),4.3904635E7)</f>
        <v>43904635</v>
      </c>
    </row>
    <row r="241">
      <c r="A241" s="7">
        <f>IFERROR(__xludf.DUMMYFUNCTION("""COMPUTED_VALUE"""),45821.66666666667)</f>
        <v>45821.66667</v>
      </c>
      <c r="B241" s="5">
        <f>IFERROR(__xludf.DUMMYFUNCTION("""COMPUTED_VALUE"""),199.73)</f>
        <v>199.73</v>
      </c>
      <c r="C241" s="5">
        <f>IFERROR(__xludf.DUMMYFUNCTION("""COMPUTED_VALUE"""),200.37)</f>
        <v>200.37</v>
      </c>
      <c r="D241" s="5">
        <f>IFERROR(__xludf.DUMMYFUNCTION("""COMPUTED_VALUE"""),195.7)</f>
        <v>195.7</v>
      </c>
      <c r="E241" s="5">
        <f>IFERROR(__xludf.DUMMYFUNCTION("""COMPUTED_VALUE"""),196.45)</f>
        <v>196.45</v>
      </c>
      <c r="F241" s="5">
        <f>IFERROR(__xludf.DUMMYFUNCTION("""COMPUTED_VALUE"""),5.1447349E7)</f>
        <v>51447349</v>
      </c>
    </row>
    <row r="242">
      <c r="A242" s="7">
        <f>IFERROR(__xludf.DUMMYFUNCTION("""COMPUTED_VALUE"""),45824.66666666667)</f>
        <v>45824.66667</v>
      </c>
      <c r="B242" s="5">
        <f>IFERROR(__xludf.DUMMYFUNCTION("""COMPUTED_VALUE"""),197.3)</f>
        <v>197.3</v>
      </c>
      <c r="C242" s="5">
        <f>IFERROR(__xludf.DUMMYFUNCTION("""COMPUTED_VALUE"""),198.69)</f>
        <v>198.69</v>
      </c>
      <c r="D242" s="5">
        <f>IFERROR(__xludf.DUMMYFUNCTION("""COMPUTED_VALUE"""),196.56)</f>
        <v>196.56</v>
      </c>
      <c r="E242" s="5">
        <f>IFERROR(__xludf.DUMMYFUNCTION("""COMPUTED_VALUE"""),198.42)</f>
        <v>198.42</v>
      </c>
      <c r="F242" s="5">
        <f>IFERROR(__xludf.DUMMYFUNCTION("""COMPUTED_VALUE"""),4.3020691E7)</f>
        <v>43020691</v>
      </c>
    </row>
    <row r="243">
      <c r="A243" s="7">
        <f>IFERROR(__xludf.DUMMYFUNCTION("""COMPUTED_VALUE"""),45825.66666666667)</f>
        <v>45825.66667</v>
      </c>
      <c r="B243" s="5">
        <f>IFERROR(__xludf.DUMMYFUNCTION("""COMPUTED_VALUE"""),197.2)</f>
        <v>197.2</v>
      </c>
      <c r="C243" s="5">
        <f>IFERROR(__xludf.DUMMYFUNCTION("""COMPUTED_VALUE"""),198.39)</f>
        <v>198.39</v>
      </c>
      <c r="D243" s="5">
        <f>IFERROR(__xludf.DUMMYFUNCTION("""COMPUTED_VALUE"""),195.21)</f>
        <v>195.21</v>
      </c>
      <c r="E243" s="5">
        <f>IFERROR(__xludf.DUMMYFUNCTION("""COMPUTED_VALUE"""),195.64)</f>
        <v>195.64</v>
      </c>
      <c r="F243" s="5">
        <f>IFERROR(__xludf.DUMMYFUNCTION("""COMPUTED_VALUE"""),3.8856152E7)</f>
        <v>38856152</v>
      </c>
    </row>
    <row r="244">
      <c r="A244" s="7">
        <f>IFERROR(__xludf.DUMMYFUNCTION("""COMPUTED_VALUE"""),45826.66666666667)</f>
        <v>45826.66667</v>
      </c>
      <c r="B244" s="5">
        <f>IFERROR(__xludf.DUMMYFUNCTION("""COMPUTED_VALUE"""),195.94)</f>
        <v>195.94</v>
      </c>
      <c r="C244" s="5">
        <f>IFERROR(__xludf.DUMMYFUNCTION("""COMPUTED_VALUE"""),197.57)</f>
        <v>197.57</v>
      </c>
      <c r="D244" s="5">
        <f>IFERROR(__xludf.DUMMYFUNCTION("""COMPUTED_VALUE"""),195.07)</f>
        <v>195.07</v>
      </c>
      <c r="E244" s="5">
        <f>IFERROR(__xludf.DUMMYFUNCTION("""COMPUTED_VALUE"""),196.58)</f>
        <v>196.58</v>
      </c>
      <c r="F244" s="5">
        <f>IFERROR(__xludf.DUMMYFUNCTION("""COMPUTED_VALUE"""),4.5394689E7)</f>
        <v>45394689</v>
      </c>
    </row>
    <row r="245">
      <c r="A245" s="7">
        <f>IFERROR(__xludf.DUMMYFUNCTION("""COMPUTED_VALUE"""),45828.66666666667)</f>
        <v>45828.66667</v>
      </c>
      <c r="B245" s="5">
        <f>IFERROR(__xludf.DUMMYFUNCTION("""COMPUTED_VALUE"""),198.24)</f>
        <v>198.24</v>
      </c>
      <c r="C245" s="5">
        <f>IFERROR(__xludf.DUMMYFUNCTION("""COMPUTED_VALUE"""),201.7)</f>
        <v>201.7</v>
      </c>
      <c r="D245" s="5">
        <f>IFERROR(__xludf.DUMMYFUNCTION("""COMPUTED_VALUE"""),196.86)</f>
        <v>196.86</v>
      </c>
      <c r="E245" s="5">
        <f>IFERROR(__xludf.DUMMYFUNCTION("""COMPUTED_VALUE"""),201.0)</f>
        <v>201</v>
      </c>
      <c r="F245" s="5">
        <f>IFERROR(__xludf.DUMMYFUNCTION("""COMPUTED_VALUE"""),9.6813542E7)</f>
        <v>96813542</v>
      </c>
    </row>
    <row r="246">
      <c r="A246" s="7">
        <f>IFERROR(__xludf.DUMMYFUNCTION("""COMPUTED_VALUE"""),45831.66666666667)</f>
        <v>45831.66667</v>
      </c>
      <c r="B246" s="5">
        <f>IFERROR(__xludf.DUMMYFUNCTION("""COMPUTED_VALUE"""),201.63)</f>
        <v>201.63</v>
      </c>
      <c r="C246" s="5">
        <f>IFERROR(__xludf.DUMMYFUNCTION("""COMPUTED_VALUE"""),202.3)</f>
        <v>202.3</v>
      </c>
      <c r="D246" s="5">
        <f>IFERROR(__xludf.DUMMYFUNCTION("""COMPUTED_VALUE"""),198.96)</f>
        <v>198.96</v>
      </c>
      <c r="E246" s="5">
        <f>IFERROR(__xludf.DUMMYFUNCTION("""COMPUTED_VALUE"""),201.5)</f>
        <v>201.5</v>
      </c>
      <c r="F246" s="5">
        <f>IFERROR(__xludf.DUMMYFUNCTION("""COMPUTED_VALUE"""),5.5814272E7)</f>
        <v>55814272</v>
      </c>
    </row>
    <row r="247">
      <c r="A247" s="7">
        <f>IFERROR(__xludf.DUMMYFUNCTION("""COMPUTED_VALUE"""),45832.66666666667)</f>
        <v>45832.66667</v>
      </c>
      <c r="B247" s="5">
        <f>IFERROR(__xludf.DUMMYFUNCTION("""COMPUTED_VALUE"""),202.59)</f>
        <v>202.59</v>
      </c>
      <c r="C247" s="5">
        <f>IFERROR(__xludf.DUMMYFUNCTION("""COMPUTED_VALUE"""),203.44)</f>
        <v>203.44</v>
      </c>
      <c r="D247" s="5">
        <f>IFERROR(__xludf.DUMMYFUNCTION("""COMPUTED_VALUE"""),200.2)</f>
        <v>200.2</v>
      </c>
      <c r="E247" s="5">
        <f>IFERROR(__xludf.DUMMYFUNCTION("""COMPUTED_VALUE"""),200.3)</f>
        <v>200.3</v>
      </c>
      <c r="F247" s="5">
        <f>IFERROR(__xludf.DUMMYFUNCTION("""COMPUTED_VALUE"""),5.4064033E7)</f>
        <v>54064033</v>
      </c>
    </row>
    <row r="248">
      <c r="A248" s="7">
        <f>IFERROR(__xludf.DUMMYFUNCTION("""COMPUTED_VALUE"""),45833.66666666667)</f>
        <v>45833.66667</v>
      </c>
      <c r="B248" s="5">
        <f>IFERROR(__xludf.DUMMYFUNCTION("""COMPUTED_VALUE"""),201.45)</f>
        <v>201.45</v>
      </c>
      <c r="C248" s="5">
        <f>IFERROR(__xludf.DUMMYFUNCTION("""COMPUTED_VALUE"""),203.67)</f>
        <v>203.67</v>
      </c>
      <c r="D248" s="5">
        <f>IFERROR(__xludf.DUMMYFUNCTION("""COMPUTED_VALUE"""),200.62)</f>
        <v>200.62</v>
      </c>
      <c r="E248" s="5">
        <f>IFERROR(__xludf.DUMMYFUNCTION("""COMPUTED_VALUE"""),201.56)</f>
        <v>201.56</v>
      </c>
      <c r="F248" s="5">
        <f>IFERROR(__xludf.DUMMYFUNCTION("""COMPUTED_VALUE"""),3.952573E7)</f>
        <v>39525730</v>
      </c>
    </row>
    <row r="249">
      <c r="A249" s="7">
        <f>IFERROR(__xludf.DUMMYFUNCTION("""COMPUTED_VALUE"""),45834.66666666667)</f>
        <v>45834.66667</v>
      </c>
      <c r="B249" s="5">
        <f>IFERROR(__xludf.DUMMYFUNCTION("""COMPUTED_VALUE"""),201.43)</f>
        <v>201.43</v>
      </c>
      <c r="C249" s="5">
        <f>IFERROR(__xludf.DUMMYFUNCTION("""COMPUTED_VALUE"""),202.64)</f>
        <v>202.64</v>
      </c>
      <c r="D249" s="5">
        <f>IFERROR(__xludf.DUMMYFUNCTION("""COMPUTED_VALUE"""),199.46)</f>
        <v>199.46</v>
      </c>
      <c r="E249" s="5">
        <f>IFERROR(__xludf.DUMMYFUNCTION("""COMPUTED_VALUE"""),201.0)</f>
        <v>201</v>
      </c>
      <c r="F249" s="5">
        <f>IFERROR(__xludf.DUMMYFUNCTION("""COMPUTED_VALUE"""),5.0799121E7)</f>
        <v>50799121</v>
      </c>
    </row>
    <row r="250">
      <c r="A250" s="7">
        <f>IFERROR(__xludf.DUMMYFUNCTION("""COMPUTED_VALUE"""),45835.66666666667)</f>
        <v>45835.66667</v>
      </c>
      <c r="B250" s="5">
        <f>IFERROR(__xludf.DUMMYFUNCTION("""COMPUTED_VALUE"""),201.89)</f>
        <v>201.89</v>
      </c>
      <c r="C250" s="5">
        <f>IFERROR(__xludf.DUMMYFUNCTION("""COMPUTED_VALUE"""),203.22)</f>
        <v>203.22</v>
      </c>
      <c r="D250" s="5">
        <f>IFERROR(__xludf.DUMMYFUNCTION("""COMPUTED_VALUE"""),200.0)</f>
        <v>200</v>
      </c>
      <c r="E250" s="5">
        <f>IFERROR(__xludf.DUMMYFUNCTION("""COMPUTED_VALUE"""),201.08)</f>
        <v>201.08</v>
      </c>
      <c r="F250" s="5">
        <f>IFERROR(__xludf.DUMMYFUNCTION("""COMPUTED_VALUE"""),7.3188571E7)</f>
        <v>73188571</v>
      </c>
    </row>
    <row r="251">
      <c r="A251" s="7">
        <f>IFERROR(__xludf.DUMMYFUNCTION("""COMPUTED_VALUE"""),45838.66666666667)</f>
        <v>45838.66667</v>
      </c>
      <c r="B251" s="5">
        <f>IFERROR(__xludf.DUMMYFUNCTION("""COMPUTED_VALUE"""),202.01)</f>
        <v>202.01</v>
      </c>
      <c r="C251" s="5">
        <f>IFERROR(__xludf.DUMMYFUNCTION("""COMPUTED_VALUE"""),207.39)</f>
        <v>207.39</v>
      </c>
      <c r="D251" s="5">
        <f>IFERROR(__xludf.DUMMYFUNCTION("""COMPUTED_VALUE"""),199.26)</f>
        <v>199.26</v>
      </c>
      <c r="E251" s="5">
        <f>IFERROR(__xludf.DUMMYFUNCTION("""COMPUTED_VALUE"""),205.17)</f>
        <v>205.17</v>
      </c>
      <c r="F251" s="5">
        <f>IFERROR(__xludf.DUMMYFUNCTION("""COMPUTED_VALUE"""),9.1912816E7)</f>
        <v>91912816</v>
      </c>
    </row>
    <row r="252">
      <c r="A252" s="7">
        <f>IFERROR(__xludf.DUMMYFUNCTION("""COMPUTED_VALUE"""),45839.66666666667)</f>
        <v>45839.66667</v>
      </c>
      <c r="B252" s="5">
        <f>IFERROR(__xludf.DUMMYFUNCTION("""COMPUTED_VALUE"""),206.67)</f>
        <v>206.67</v>
      </c>
      <c r="C252" s="5">
        <f>IFERROR(__xludf.DUMMYFUNCTION("""COMPUTED_VALUE"""),210.19)</f>
        <v>210.19</v>
      </c>
      <c r="D252" s="5">
        <f>IFERROR(__xludf.DUMMYFUNCTION("""COMPUTED_VALUE"""),206.14)</f>
        <v>206.14</v>
      </c>
      <c r="E252" s="5">
        <f>IFERROR(__xludf.DUMMYFUNCTION("""COMPUTED_VALUE"""),207.82)</f>
        <v>207.82</v>
      </c>
      <c r="F252" s="5">
        <f>IFERROR(__xludf.DUMMYFUNCTION("""COMPUTED_VALUE"""),7.8788867E7)</f>
        <v>78788867</v>
      </c>
    </row>
    <row r="253">
      <c r="A253" s="7">
        <f>IFERROR(__xludf.DUMMYFUNCTION("""COMPUTED_VALUE"""),45840.66666666667)</f>
        <v>45840.66667</v>
      </c>
      <c r="B253" s="5">
        <f>IFERROR(__xludf.DUMMYFUNCTION("""COMPUTED_VALUE"""),208.91)</f>
        <v>208.91</v>
      </c>
      <c r="C253" s="5">
        <f>IFERROR(__xludf.DUMMYFUNCTION("""COMPUTED_VALUE"""),213.34)</f>
        <v>213.34</v>
      </c>
      <c r="D253" s="5">
        <f>IFERROR(__xludf.DUMMYFUNCTION("""COMPUTED_VALUE"""),208.14)</f>
        <v>208.14</v>
      </c>
      <c r="E253" s="5">
        <f>IFERROR(__xludf.DUMMYFUNCTION("""COMPUTED_VALUE"""),212.44)</f>
        <v>212.44</v>
      </c>
      <c r="F253" s="5">
        <f>IFERROR(__xludf.DUMMYFUNCTION("""COMPUTED_VALUE"""),6.7941811E7)</f>
        <v>67941811</v>
      </c>
    </row>
    <row r="254">
      <c r="A254" s="7">
        <f>IFERROR(__xludf.DUMMYFUNCTION("""COMPUTED_VALUE"""),45841.54513888889)</f>
        <v>45841.54514</v>
      </c>
      <c r="B254" s="5">
        <f>IFERROR(__xludf.DUMMYFUNCTION("""COMPUTED_VALUE"""),212.15)</f>
        <v>212.15</v>
      </c>
      <c r="C254" s="5">
        <f>IFERROR(__xludf.DUMMYFUNCTION("""COMPUTED_VALUE"""),214.65)</f>
        <v>214.65</v>
      </c>
      <c r="D254" s="5">
        <f>IFERROR(__xludf.DUMMYFUNCTION("""COMPUTED_VALUE"""),211.81)</f>
        <v>211.81</v>
      </c>
      <c r="E254" s="5">
        <f>IFERROR(__xludf.DUMMYFUNCTION("""COMPUTED_VALUE"""),213.55)</f>
        <v>213.55</v>
      </c>
      <c r="F254" s="5">
        <f>IFERROR(__xludf.DUMMYFUNCTION("""COMPUTED_VALUE"""),3.4955836E7)</f>
        <v>34955836</v>
      </c>
    </row>
    <row r="255">
      <c r="A255" s="7">
        <f>IFERROR(__xludf.DUMMYFUNCTION("""COMPUTED_VALUE"""),45845.66666666667)</f>
        <v>45845.66667</v>
      </c>
      <c r="B255" s="5">
        <f>IFERROR(__xludf.DUMMYFUNCTION("""COMPUTED_VALUE"""),212.68)</f>
        <v>212.68</v>
      </c>
      <c r="C255" s="5">
        <f>IFERROR(__xludf.DUMMYFUNCTION("""COMPUTED_VALUE"""),216.23)</f>
        <v>216.23</v>
      </c>
      <c r="D255" s="5">
        <f>IFERROR(__xludf.DUMMYFUNCTION("""COMPUTED_VALUE"""),208.8)</f>
        <v>208.8</v>
      </c>
      <c r="E255" s="5">
        <f>IFERROR(__xludf.DUMMYFUNCTION("""COMPUTED_VALUE"""),209.95)</f>
        <v>209.95</v>
      </c>
      <c r="F255" s="5">
        <f>IFERROR(__xludf.DUMMYFUNCTION("""COMPUTED_VALUE"""),5.0228984E7)</f>
        <v>50228984</v>
      </c>
    </row>
    <row r="256">
      <c r="A256" s="7">
        <f>IFERROR(__xludf.DUMMYFUNCTION("""COMPUTED_VALUE"""),45846.66666666667)</f>
        <v>45846.66667</v>
      </c>
      <c r="B256" s="5">
        <f>IFERROR(__xludf.DUMMYFUNCTION("""COMPUTED_VALUE"""),210.1)</f>
        <v>210.1</v>
      </c>
      <c r="C256" s="5">
        <f>IFERROR(__xludf.DUMMYFUNCTION("""COMPUTED_VALUE"""),211.43)</f>
        <v>211.43</v>
      </c>
      <c r="D256" s="5">
        <f>IFERROR(__xludf.DUMMYFUNCTION("""COMPUTED_VALUE"""),208.45)</f>
        <v>208.45</v>
      </c>
      <c r="E256" s="5">
        <f>IFERROR(__xludf.DUMMYFUNCTION("""COMPUTED_VALUE"""),210.01)</f>
        <v>210.01</v>
      </c>
      <c r="F256" s="5">
        <f>IFERROR(__xludf.DUMMYFUNCTION("""COMPUTED_VALUE"""),4.2848928E7)</f>
        <v>42848928</v>
      </c>
    </row>
    <row r="257">
      <c r="A257" s="7">
        <f>IFERROR(__xludf.DUMMYFUNCTION("""COMPUTED_VALUE"""),45847.66666666667)</f>
        <v>45847.66667</v>
      </c>
      <c r="B257" s="5">
        <f>IFERROR(__xludf.DUMMYFUNCTION("""COMPUTED_VALUE"""),209.53)</f>
        <v>209.53</v>
      </c>
      <c r="C257" s="5">
        <f>IFERROR(__xludf.DUMMYFUNCTION("""COMPUTED_VALUE"""),211.33)</f>
        <v>211.33</v>
      </c>
      <c r="D257" s="5">
        <f>IFERROR(__xludf.DUMMYFUNCTION("""COMPUTED_VALUE"""),207.22)</f>
        <v>207.22</v>
      </c>
      <c r="E257" s="5">
        <f>IFERROR(__xludf.DUMMYFUNCTION("""COMPUTED_VALUE"""),211.14)</f>
        <v>211.14</v>
      </c>
      <c r="F257" s="5">
        <f>IFERROR(__xludf.DUMMYFUNCTION("""COMPUTED_VALUE"""),4.8749367E7)</f>
        <v>48749367</v>
      </c>
    </row>
    <row r="258">
      <c r="A258" s="7">
        <f>IFERROR(__xludf.DUMMYFUNCTION("""COMPUTED_VALUE"""),45848.66666666667)</f>
        <v>45848.66667</v>
      </c>
      <c r="B258" s="5">
        <f>IFERROR(__xludf.DUMMYFUNCTION("""COMPUTED_VALUE"""),210.51)</f>
        <v>210.51</v>
      </c>
      <c r="C258" s="5">
        <f>IFERROR(__xludf.DUMMYFUNCTION("""COMPUTED_VALUE"""),213.48)</f>
        <v>213.48</v>
      </c>
      <c r="D258" s="5">
        <f>IFERROR(__xludf.DUMMYFUNCTION("""COMPUTED_VALUE"""),210.03)</f>
        <v>210.03</v>
      </c>
      <c r="E258" s="5">
        <f>IFERROR(__xludf.DUMMYFUNCTION("""COMPUTED_VALUE"""),212.41)</f>
        <v>212.41</v>
      </c>
      <c r="F258" s="5">
        <f>IFERROR(__xludf.DUMMYFUNCTION("""COMPUTED_VALUE"""),4.4443635E7)</f>
        <v>44443635</v>
      </c>
    </row>
    <row r="259">
      <c r="A259" s="7">
        <f>IFERROR(__xludf.DUMMYFUNCTION("""COMPUTED_VALUE"""),45849.66666666667)</f>
        <v>45849.66667</v>
      </c>
      <c r="B259" s="5">
        <f>IFERROR(__xludf.DUMMYFUNCTION("""COMPUTED_VALUE"""),210.57)</f>
        <v>210.57</v>
      </c>
      <c r="C259" s="5">
        <f>IFERROR(__xludf.DUMMYFUNCTION("""COMPUTED_VALUE"""),212.13)</f>
        <v>212.13</v>
      </c>
      <c r="D259" s="5">
        <f>IFERROR(__xludf.DUMMYFUNCTION("""COMPUTED_VALUE"""),209.86)</f>
        <v>209.86</v>
      </c>
      <c r="E259" s="5">
        <f>IFERROR(__xludf.DUMMYFUNCTION("""COMPUTED_VALUE"""),211.16)</f>
        <v>211.16</v>
      </c>
      <c r="F259" s="5">
        <f>IFERROR(__xludf.DUMMYFUNCTION("""COMPUTED_VALUE"""),3.9765812E7)</f>
        <v>39765812</v>
      </c>
    </row>
    <row r="260">
      <c r="A260" s="7">
        <f>IFERROR(__xludf.DUMMYFUNCTION("""COMPUTED_VALUE"""),45852.66666666667)</f>
        <v>45852.66667</v>
      </c>
      <c r="B260" s="5">
        <f>IFERROR(__xludf.DUMMYFUNCTION("""COMPUTED_VALUE"""),209.93)</f>
        <v>209.93</v>
      </c>
      <c r="C260" s="5">
        <f>IFERROR(__xludf.DUMMYFUNCTION("""COMPUTED_VALUE"""),210.91)</f>
        <v>210.91</v>
      </c>
      <c r="D260" s="5">
        <f>IFERROR(__xludf.DUMMYFUNCTION("""COMPUTED_VALUE"""),207.54)</f>
        <v>207.54</v>
      </c>
      <c r="E260" s="5">
        <f>IFERROR(__xludf.DUMMYFUNCTION("""COMPUTED_VALUE"""),208.62)</f>
        <v>208.62</v>
      </c>
      <c r="F260" s="5">
        <f>IFERROR(__xludf.DUMMYFUNCTION("""COMPUTED_VALUE"""),3.8840111E7)</f>
        <v>38840111</v>
      </c>
    </row>
    <row r="261">
      <c r="A261" s="7">
        <f>IFERROR(__xludf.DUMMYFUNCTION("""COMPUTED_VALUE"""),45853.66666666667)</f>
        <v>45853.66667</v>
      </c>
      <c r="B261" s="5">
        <f>IFERROR(__xludf.DUMMYFUNCTION("""COMPUTED_VALUE"""),209.22)</f>
        <v>209.22</v>
      </c>
      <c r="C261" s="5">
        <f>IFERROR(__xludf.DUMMYFUNCTION("""COMPUTED_VALUE"""),211.89)</f>
        <v>211.89</v>
      </c>
      <c r="D261" s="5">
        <f>IFERROR(__xludf.DUMMYFUNCTION("""COMPUTED_VALUE"""),208.92)</f>
        <v>208.92</v>
      </c>
      <c r="E261" s="5">
        <f>IFERROR(__xludf.DUMMYFUNCTION("""COMPUTED_VALUE"""),209.11)</f>
        <v>209.11</v>
      </c>
      <c r="F261" s="5">
        <f>IFERROR(__xludf.DUMMYFUNCTION("""COMPUTED_VALUE"""),4.2296339E7)</f>
        <v>42296339</v>
      </c>
    </row>
    <row r="262">
      <c r="A262" s="7">
        <f>IFERROR(__xludf.DUMMYFUNCTION("""COMPUTED_VALUE"""),45854.66666666667)</f>
        <v>45854.66667</v>
      </c>
      <c r="B262" s="5">
        <f>IFERROR(__xludf.DUMMYFUNCTION("""COMPUTED_VALUE"""),210.3)</f>
        <v>210.3</v>
      </c>
      <c r="C262" s="5">
        <f>IFERROR(__xludf.DUMMYFUNCTION("""COMPUTED_VALUE"""),212.4)</f>
        <v>212.4</v>
      </c>
      <c r="D262" s="5">
        <f>IFERROR(__xludf.DUMMYFUNCTION("""COMPUTED_VALUE"""),208.64)</f>
        <v>208.64</v>
      </c>
      <c r="E262" s="5">
        <f>IFERROR(__xludf.DUMMYFUNCTION("""COMPUTED_VALUE"""),210.16)</f>
        <v>210.16</v>
      </c>
      <c r="F262" s="5">
        <f>IFERROR(__xludf.DUMMYFUNCTION("""COMPUTED_VALUE"""),4.7490532E7)</f>
        <v>47490532</v>
      </c>
    </row>
    <row r="263">
      <c r="A263" s="7">
        <f>IFERROR(__xludf.DUMMYFUNCTION("""COMPUTED_VALUE"""),45855.66666666667)</f>
        <v>45855.66667</v>
      </c>
      <c r="B263" s="5">
        <f>IFERROR(__xludf.DUMMYFUNCTION("""COMPUTED_VALUE"""),210.57)</f>
        <v>210.57</v>
      </c>
      <c r="C263" s="5">
        <f>IFERROR(__xludf.DUMMYFUNCTION("""COMPUTED_VALUE"""),211.8)</f>
        <v>211.8</v>
      </c>
      <c r="D263" s="5">
        <f>IFERROR(__xludf.DUMMYFUNCTION("""COMPUTED_VALUE"""),209.59)</f>
        <v>209.59</v>
      </c>
      <c r="E263" s="5">
        <f>IFERROR(__xludf.DUMMYFUNCTION("""COMPUTED_VALUE"""),210.02)</f>
        <v>210.02</v>
      </c>
      <c r="F263" s="5">
        <f>IFERROR(__xludf.DUMMYFUNCTION("""COMPUTED_VALUE"""),4.8068141E7)</f>
        <v>48068141</v>
      </c>
    </row>
    <row r="264">
      <c r="A264" s="7">
        <f>IFERROR(__xludf.DUMMYFUNCTION("""COMPUTED_VALUE"""),45856.66666666667)</f>
        <v>45856.66667</v>
      </c>
      <c r="B264" s="5">
        <f>IFERROR(__xludf.DUMMYFUNCTION("""COMPUTED_VALUE"""),210.87)</f>
        <v>210.87</v>
      </c>
      <c r="C264" s="5">
        <f>IFERROR(__xludf.DUMMYFUNCTION("""COMPUTED_VALUE"""),211.79)</f>
        <v>211.79</v>
      </c>
      <c r="D264" s="5">
        <f>IFERROR(__xludf.DUMMYFUNCTION("""COMPUTED_VALUE"""),209.7)</f>
        <v>209.7</v>
      </c>
      <c r="E264" s="5">
        <f>IFERROR(__xludf.DUMMYFUNCTION("""COMPUTED_VALUE"""),211.18)</f>
        <v>211.18</v>
      </c>
      <c r="F264" s="5">
        <f>IFERROR(__xludf.DUMMYFUNCTION("""COMPUTED_VALUE"""),4.8974591E7)</f>
        <v>48974591</v>
      </c>
    </row>
  </sheetData>
  <drawing r:id="rId1"/>
</worksheet>
</file>